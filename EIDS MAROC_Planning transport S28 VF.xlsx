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JAOUUS\Desktop\"/>
    </mc:Choice>
  </mc:AlternateContent>
  <bookViews>
    <workbookView xWindow="-120" yWindow="-120" windowWidth="29040" windowHeight="15720"/>
  </bookViews>
  <sheets>
    <sheet name="PLANNING" sheetId="2" r:id="rId1"/>
    <sheet name="ETAT" sheetId="1" r:id="rId2"/>
  </sheets>
  <definedNames>
    <definedName name="_xlnm._FilterDatabase" localSheetId="1" hidden="1">ETAT!$A$5:$W$33</definedName>
    <definedName name="_xlnm._FilterDatabase" localSheetId="0" hidden="1">PLANNING!$A$1:$Y$296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6" i="2" l="1"/>
  <c r="E295" i="2"/>
  <c r="E293" i="2" l="1"/>
  <c r="E294" i="2"/>
  <c r="E274" i="2" l="1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73" i="2"/>
  <c r="H12" i="1" l="1"/>
  <c r="H11" i="1"/>
  <c r="N25" i="1"/>
  <c r="N24" i="1"/>
  <c r="N23" i="1"/>
  <c r="N22" i="1"/>
  <c r="O22" i="1"/>
  <c r="T24" i="1" l="1"/>
  <c r="R9" i="1" l="1"/>
  <c r="R6" i="1"/>
  <c r="R8" i="1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3" i="1"/>
  <c r="O24" i="1"/>
  <c r="O25" i="1"/>
  <c r="O26" i="1"/>
  <c r="O27" i="1"/>
  <c r="O28" i="1"/>
  <c r="O29" i="1"/>
  <c r="O30" i="1"/>
  <c r="O31" i="1"/>
  <c r="O32" i="1"/>
  <c r="O33" i="1"/>
  <c r="N19" i="1" l="1"/>
  <c r="N30" i="1"/>
  <c r="N6" i="1"/>
  <c r="N31" i="1"/>
  <c r="N7" i="1"/>
  <c r="N26" i="1"/>
  <c r="N14" i="1"/>
  <c r="N18" i="1"/>
  <c r="N16" i="1"/>
  <c r="N28" i="1"/>
  <c r="N20" i="1"/>
  <c r="N32" i="1"/>
  <c r="N8" i="1"/>
  <c r="N33" i="1"/>
  <c r="N29" i="1"/>
  <c r="N21" i="1"/>
  <c r="N17" i="1"/>
  <c r="N13" i="1"/>
  <c r="N9" i="1"/>
  <c r="N27" i="1"/>
  <c r="N15" i="1"/>
  <c r="N12" i="1"/>
  <c r="N11" i="1"/>
  <c r="N10" i="1"/>
  <c r="F11" i="1" l="1"/>
  <c r="P7" i="1"/>
  <c r="E13" i="1"/>
  <c r="S9" i="1"/>
  <c r="P29" i="1"/>
  <c r="F13" i="1"/>
  <c r="F9" i="1"/>
  <c r="I12" i="1"/>
  <c r="J10" i="1"/>
  <c r="E12" i="1"/>
  <c r="G10" i="1"/>
  <c r="C12" i="1"/>
  <c r="D25" i="1"/>
  <c r="C13" i="1"/>
  <c r="C16" i="1"/>
  <c r="C11" i="1"/>
  <c r="D13" i="1"/>
  <c r="F12" i="1"/>
  <c r="D12" i="1"/>
  <c r="G11" i="1"/>
  <c r="E11" i="1"/>
  <c r="D10" i="1"/>
  <c r="J13" i="1"/>
  <c r="H13" i="1"/>
  <c r="J12" i="1"/>
  <c r="W9" i="1"/>
  <c r="U9" i="1"/>
  <c r="T9" i="1"/>
  <c r="V9" i="1" l="1"/>
  <c r="I13" i="1"/>
  <c r="H10" i="1"/>
  <c r="G12" i="1"/>
  <c r="C10" i="1"/>
  <c r="I10" i="1"/>
  <c r="E10" i="1"/>
  <c r="F10" i="1"/>
  <c r="I11" i="1"/>
  <c r="G13" i="1"/>
  <c r="P9" i="1"/>
  <c r="Q9" i="1"/>
  <c r="J11" i="1"/>
  <c r="D11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Q14" i="1"/>
  <c r="W32" i="1"/>
  <c r="V32" i="1"/>
  <c r="U32" i="1"/>
  <c r="T32" i="1"/>
  <c r="R32" i="1"/>
  <c r="Q32" i="1"/>
  <c r="P32" i="1"/>
  <c r="J32" i="1"/>
  <c r="I32" i="1"/>
  <c r="H32" i="1"/>
  <c r="G32" i="1"/>
  <c r="F32" i="1"/>
  <c r="E32" i="1"/>
  <c r="D32" i="1"/>
  <c r="C32" i="1"/>
  <c r="W28" i="1"/>
  <c r="V28" i="1"/>
  <c r="U28" i="1"/>
  <c r="T28" i="1"/>
  <c r="R28" i="1"/>
  <c r="Q28" i="1"/>
  <c r="P28" i="1"/>
  <c r="J28" i="1"/>
  <c r="I28" i="1"/>
  <c r="H28" i="1"/>
  <c r="G28" i="1"/>
  <c r="F28" i="1"/>
  <c r="E28" i="1"/>
  <c r="D28" i="1"/>
  <c r="C28" i="1"/>
  <c r="W24" i="1"/>
  <c r="V24" i="1"/>
  <c r="U24" i="1"/>
  <c r="R24" i="1"/>
  <c r="Q24" i="1"/>
  <c r="P24" i="1"/>
  <c r="J24" i="1"/>
  <c r="I24" i="1"/>
  <c r="H24" i="1"/>
  <c r="G24" i="1"/>
  <c r="F24" i="1"/>
  <c r="E24" i="1"/>
  <c r="D24" i="1"/>
  <c r="C24" i="1"/>
  <c r="W20" i="1"/>
  <c r="V20" i="1"/>
  <c r="U20" i="1"/>
  <c r="T20" i="1"/>
  <c r="R20" i="1"/>
  <c r="Q20" i="1"/>
  <c r="P20" i="1"/>
  <c r="J20" i="1"/>
  <c r="I20" i="1"/>
  <c r="H20" i="1"/>
  <c r="G20" i="1"/>
  <c r="F20" i="1"/>
  <c r="E20" i="1"/>
  <c r="D20" i="1"/>
  <c r="C20" i="1"/>
  <c r="J16" i="1"/>
  <c r="I16" i="1"/>
  <c r="H16" i="1"/>
  <c r="G16" i="1"/>
  <c r="F16" i="1"/>
  <c r="E16" i="1"/>
  <c r="D16" i="1"/>
  <c r="W12" i="1"/>
  <c r="V12" i="1"/>
  <c r="U12" i="1"/>
  <c r="T12" i="1"/>
  <c r="R12" i="1"/>
  <c r="Q12" i="1"/>
  <c r="P12" i="1"/>
  <c r="W8" i="1"/>
  <c r="V8" i="1"/>
  <c r="U8" i="1"/>
  <c r="T8" i="1"/>
  <c r="Q8" i="1"/>
  <c r="P8" i="1"/>
  <c r="J8" i="1"/>
  <c r="I8" i="1"/>
  <c r="H8" i="1"/>
  <c r="G8" i="1"/>
  <c r="F8" i="1"/>
  <c r="E8" i="1"/>
  <c r="D8" i="1"/>
  <c r="C8" i="1"/>
  <c r="W16" i="1"/>
  <c r="V16" i="1"/>
  <c r="U16" i="1"/>
  <c r="T16" i="1"/>
  <c r="R16" i="1"/>
  <c r="Q16" i="1"/>
  <c r="P16" i="1"/>
  <c r="G19" i="1" l="1"/>
  <c r="E7" i="1"/>
  <c r="D9" i="1"/>
  <c r="U7" i="1"/>
  <c r="T6" i="1"/>
  <c r="Q33" i="1"/>
  <c r="Q31" i="1"/>
  <c r="Q30" i="1"/>
  <c r="Q29" i="1"/>
  <c r="Q27" i="1"/>
  <c r="Q26" i="1"/>
  <c r="Q25" i="1"/>
  <c r="Q23" i="1"/>
  <c r="Q22" i="1"/>
  <c r="Q21" i="1"/>
  <c r="Q19" i="1"/>
  <c r="Q18" i="1"/>
  <c r="Q17" i="1"/>
  <c r="Q15" i="1"/>
  <c r="Q13" i="1"/>
  <c r="Q11" i="1"/>
  <c r="Q10" i="1"/>
  <c r="Q7" i="1"/>
  <c r="Q6" i="1"/>
  <c r="P26" i="1"/>
  <c r="P6" i="1"/>
  <c r="P25" i="1"/>
  <c r="P23" i="1"/>
  <c r="P22" i="1"/>
  <c r="P21" i="1"/>
  <c r="P19" i="1"/>
  <c r="P18" i="1"/>
  <c r="P17" i="1"/>
  <c r="P15" i="1"/>
  <c r="P14" i="1"/>
  <c r="R29" i="1"/>
  <c r="P30" i="1"/>
  <c r="R30" i="1"/>
  <c r="P31" i="1"/>
  <c r="R31" i="1"/>
  <c r="P33" i="1"/>
  <c r="R33" i="1"/>
  <c r="P27" i="1"/>
  <c r="R27" i="1"/>
  <c r="R26" i="1"/>
  <c r="T26" i="1"/>
  <c r="U26" i="1"/>
  <c r="V26" i="1"/>
  <c r="W26" i="1"/>
  <c r="W33" i="1"/>
  <c r="V33" i="1"/>
  <c r="U33" i="1"/>
  <c r="T33" i="1"/>
  <c r="W31" i="1"/>
  <c r="V31" i="1"/>
  <c r="U31" i="1"/>
  <c r="T31" i="1"/>
  <c r="W30" i="1"/>
  <c r="V30" i="1"/>
  <c r="U30" i="1"/>
  <c r="T30" i="1"/>
  <c r="J33" i="1"/>
  <c r="I33" i="1"/>
  <c r="H33" i="1"/>
  <c r="G33" i="1"/>
  <c r="F33" i="1"/>
  <c r="E33" i="1"/>
  <c r="D33" i="1"/>
  <c r="C33" i="1"/>
  <c r="J31" i="1"/>
  <c r="I31" i="1"/>
  <c r="H31" i="1"/>
  <c r="G31" i="1"/>
  <c r="F31" i="1"/>
  <c r="E31" i="1"/>
  <c r="D31" i="1"/>
  <c r="C31" i="1"/>
  <c r="J30" i="1"/>
  <c r="I30" i="1"/>
  <c r="H30" i="1"/>
  <c r="G30" i="1"/>
  <c r="F30" i="1"/>
  <c r="E30" i="1"/>
  <c r="D30" i="1"/>
  <c r="C30" i="1"/>
  <c r="W29" i="1"/>
  <c r="V29" i="1"/>
  <c r="U29" i="1"/>
  <c r="T29" i="1"/>
  <c r="W27" i="1"/>
  <c r="V27" i="1"/>
  <c r="U27" i="1"/>
  <c r="T27" i="1"/>
  <c r="J29" i="1"/>
  <c r="I29" i="1"/>
  <c r="H29" i="1"/>
  <c r="G29" i="1"/>
  <c r="F29" i="1"/>
  <c r="E29" i="1"/>
  <c r="D29" i="1"/>
  <c r="C29" i="1"/>
  <c r="J27" i="1"/>
  <c r="I27" i="1"/>
  <c r="H27" i="1"/>
  <c r="G27" i="1"/>
  <c r="F27" i="1"/>
  <c r="E27" i="1"/>
  <c r="D27" i="1"/>
  <c r="C27" i="1"/>
  <c r="J26" i="1"/>
  <c r="I26" i="1"/>
  <c r="H26" i="1"/>
  <c r="G26" i="1"/>
  <c r="F26" i="1"/>
  <c r="E26" i="1"/>
  <c r="D26" i="1"/>
  <c r="C26" i="1"/>
  <c r="W25" i="1"/>
  <c r="V25" i="1"/>
  <c r="U25" i="1"/>
  <c r="T25" i="1"/>
  <c r="R25" i="1"/>
  <c r="W23" i="1"/>
  <c r="V23" i="1"/>
  <c r="U23" i="1"/>
  <c r="T23" i="1"/>
  <c r="R23" i="1"/>
  <c r="W22" i="1"/>
  <c r="V22" i="1"/>
  <c r="U22" i="1"/>
  <c r="T22" i="1"/>
  <c r="R22" i="1"/>
  <c r="J25" i="1"/>
  <c r="I25" i="1"/>
  <c r="H25" i="1"/>
  <c r="G25" i="1"/>
  <c r="F25" i="1"/>
  <c r="E25" i="1"/>
  <c r="C25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W21" i="1"/>
  <c r="V21" i="1"/>
  <c r="U21" i="1"/>
  <c r="T21" i="1"/>
  <c r="R21" i="1"/>
  <c r="W19" i="1"/>
  <c r="V19" i="1"/>
  <c r="U19" i="1"/>
  <c r="T19" i="1"/>
  <c r="R19" i="1"/>
  <c r="W18" i="1"/>
  <c r="V18" i="1"/>
  <c r="U18" i="1"/>
  <c r="T18" i="1"/>
  <c r="R18" i="1"/>
  <c r="C18" i="1"/>
  <c r="J21" i="1"/>
  <c r="I21" i="1"/>
  <c r="H21" i="1"/>
  <c r="G21" i="1"/>
  <c r="F21" i="1"/>
  <c r="E21" i="1"/>
  <c r="D21" i="1"/>
  <c r="C21" i="1"/>
  <c r="J19" i="1"/>
  <c r="I19" i="1"/>
  <c r="H19" i="1"/>
  <c r="F19" i="1"/>
  <c r="E19" i="1"/>
  <c r="D19" i="1"/>
  <c r="C19" i="1"/>
  <c r="J18" i="1"/>
  <c r="I18" i="1"/>
  <c r="H18" i="1"/>
  <c r="G18" i="1"/>
  <c r="F18" i="1"/>
  <c r="E18" i="1"/>
  <c r="D18" i="1"/>
  <c r="W17" i="1"/>
  <c r="V17" i="1"/>
  <c r="U17" i="1"/>
  <c r="T17" i="1"/>
  <c r="R17" i="1"/>
  <c r="W15" i="1"/>
  <c r="V15" i="1"/>
  <c r="U15" i="1"/>
  <c r="T15" i="1"/>
  <c r="R15" i="1"/>
  <c r="W14" i="1"/>
  <c r="V14" i="1"/>
  <c r="U14" i="1"/>
  <c r="T14" i="1"/>
  <c r="R14" i="1"/>
  <c r="J17" i="1"/>
  <c r="I17" i="1"/>
  <c r="H17" i="1"/>
  <c r="G17" i="1"/>
  <c r="F17" i="1"/>
  <c r="E17" i="1"/>
  <c r="D17" i="1"/>
  <c r="C17" i="1"/>
  <c r="J15" i="1"/>
  <c r="I15" i="1"/>
  <c r="H15" i="1"/>
  <c r="G15" i="1"/>
  <c r="F15" i="1"/>
  <c r="E15" i="1"/>
  <c r="D15" i="1"/>
  <c r="C15" i="1"/>
  <c r="J14" i="1"/>
  <c r="I14" i="1"/>
  <c r="H14" i="1"/>
  <c r="G14" i="1"/>
  <c r="F14" i="1"/>
  <c r="E14" i="1"/>
  <c r="D14" i="1"/>
  <c r="C14" i="1"/>
  <c r="P13" i="1"/>
  <c r="R13" i="1"/>
  <c r="T13" i="1"/>
  <c r="U13" i="1"/>
  <c r="V13" i="1"/>
  <c r="W13" i="1"/>
  <c r="P11" i="1"/>
  <c r="R11" i="1"/>
  <c r="T11" i="1"/>
  <c r="U11" i="1"/>
  <c r="V11" i="1"/>
  <c r="W11" i="1"/>
  <c r="P10" i="1"/>
  <c r="R10" i="1"/>
  <c r="T10" i="1"/>
  <c r="U10" i="1"/>
  <c r="V10" i="1"/>
  <c r="W10" i="1"/>
  <c r="R7" i="1"/>
  <c r="U6" i="1"/>
  <c r="V6" i="1"/>
  <c r="W6" i="1"/>
  <c r="T7" i="1"/>
  <c r="V7" i="1"/>
  <c r="W7" i="1"/>
  <c r="C6" i="1"/>
  <c r="C7" i="1"/>
  <c r="C9" i="1"/>
  <c r="E6" i="1"/>
  <c r="F6" i="1"/>
  <c r="G6" i="1"/>
  <c r="H6" i="1"/>
  <c r="I6" i="1"/>
  <c r="J6" i="1"/>
  <c r="F7" i="1"/>
  <c r="G7" i="1"/>
  <c r="H7" i="1"/>
  <c r="I7" i="1"/>
  <c r="J7" i="1"/>
  <c r="E9" i="1"/>
  <c r="G9" i="1"/>
  <c r="H9" i="1"/>
  <c r="I9" i="1"/>
  <c r="J9" i="1"/>
  <c r="D6" i="1"/>
  <c r="D7" i="1"/>
</calcChain>
</file>

<file path=xl/sharedStrings.xml><?xml version="1.0" encoding="utf-8"?>
<sst xmlns="http://schemas.openxmlformats.org/spreadsheetml/2006/main" count="6923" uniqueCount="1288">
  <si>
    <t>VILLE</t>
  </si>
  <si>
    <t>07H</t>
  </si>
  <si>
    <t>08H</t>
  </si>
  <si>
    <t>09H</t>
  </si>
  <si>
    <t>10H</t>
  </si>
  <si>
    <t>KENITRA</t>
  </si>
  <si>
    <t>RABAT</t>
  </si>
  <si>
    <t>TEMARA</t>
  </si>
  <si>
    <t>MARDI</t>
  </si>
  <si>
    <t>MERCREDI</t>
  </si>
  <si>
    <t>JEUDI</t>
  </si>
  <si>
    <t>VENDREDI</t>
  </si>
  <si>
    <t>SAMEDI</t>
  </si>
  <si>
    <t>LUNDI</t>
  </si>
  <si>
    <t>Entrées</t>
  </si>
  <si>
    <t>Matricule</t>
  </si>
  <si>
    <t>NOM</t>
  </si>
  <si>
    <t>PRENOM</t>
  </si>
  <si>
    <t>NOM COMPLET</t>
  </si>
  <si>
    <t>Date d'embauche</t>
  </si>
  <si>
    <t>Activité</t>
  </si>
  <si>
    <t>N de téléphone</t>
  </si>
  <si>
    <t>Ville</t>
  </si>
  <si>
    <t>POINT DE REPERE</t>
  </si>
  <si>
    <t>ZONES</t>
  </si>
  <si>
    <t xml:space="preserve">LUN. Entrée </t>
  </si>
  <si>
    <t xml:space="preserve">LUN. Sortie </t>
  </si>
  <si>
    <t>MAR. Entrée</t>
  </si>
  <si>
    <t>MAR. Sortie</t>
  </si>
  <si>
    <t>MER. Entrée</t>
  </si>
  <si>
    <t>MER. Sortie</t>
  </si>
  <si>
    <t>JEU. Entrée</t>
  </si>
  <si>
    <t>JEU. Sortie</t>
  </si>
  <si>
    <t>VEN. Entrée</t>
  </si>
  <si>
    <t>VEN. Sortie</t>
  </si>
  <si>
    <t>SAM. Entrée</t>
  </si>
  <si>
    <t>SAM. Sortie</t>
  </si>
  <si>
    <t>DIM. Entrée</t>
  </si>
  <si>
    <t>DIM. Sortie</t>
  </si>
  <si>
    <t>ZONE 7</t>
  </si>
  <si>
    <t>DELDOULI</t>
  </si>
  <si>
    <t>NADIA</t>
  </si>
  <si>
    <t>DELDOULI NADIA</t>
  </si>
  <si>
    <t>FLOA</t>
  </si>
  <si>
    <t>06 69 91 21 68</t>
  </si>
  <si>
    <t>EL HARRATI</t>
  </si>
  <si>
    <t>BADRE-DDINE</t>
  </si>
  <si>
    <t>EL HARRATI BADRE-DDINE</t>
  </si>
  <si>
    <t>06 15 91 63 93</t>
  </si>
  <si>
    <t>ECOLE PRIVE AL MOURTAKA</t>
  </si>
  <si>
    <t>ZONE 8</t>
  </si>
  <si>
    <t>SALE</t>
  </si>
  <si>
    <t>ZONE 4</t>
  </si>
  <si>
    <t>HAJ</t>
  </si>
  <si>
    <t>BADRIYA</t>
  </si>
  <si>
    <t>HAJ BADRIYA</t>
  </si>
  <si>
    <t>06 10 47 98 72</t>
  </si>
  <si>
    <t>ZONE 5</t>
  </si>
  <si>
    <t>SALMA</t>
  </si>
  <si>
    <t>SALA AL JADIDA</t>
  </si>
  <si>
    <t>SARA</t>
  </si>
  <si>
    <t>CAFE DAMAS</t>
  </si>
  <si>
    <t>ZONE 1</t>
  </si>
  <si>
    <t>ZONE 6</t>
  </si>
  <si>
    <t>BALBAL</t>
  </si>
  <si>
    <t>ZINEB</t>
  </si>
  <si>
    <t>BALBAL ZINEB</t>
  </si>
  <si>
    <t>06 73 07 49 22</t>
  </si>
  <si>
    <t>MAROC TELECOM BETTANA</t>
  </si>
  <si>
    <t>EL BOURSOUMI</t>
  </si>
  <si>
    <t>EL BOURSOUMI ZINEB</t>
  </si>
  <si>
    <t>06 54 79 06 12</t>
  </si>
  <si>
    <t>CNSS BETTANA</t>
  </si>
  <si>
    <t>YOUSSEF</t>
  </si>
  <si>
    <t>KAOUTAR</t>
  </si>
  <si>
    <t>EL MEHDI</t>
  </si>
  <si>
    <t>MOSQUEE CHAABI</t>
  </si>
  <si>
    <t>OUAKRIM</t>
  </si>
  <si>
    <t>OUALID</t>
  </si>
  <si>
    <t>OUAKRIM OUALID</t>
  </si>
  <si>
    <t>06 99 35 60 83</t>
  </si>
  <si>
    <t>THIAW</t>
  </si>
  <si>
    <t>BABA</t>
  </si>
  <si>
    <t>THIAW BABA</t>
  </si>
  <si>
    <t>06 96 95 86 15</t>
  </si>
  <si>
    <t>AMINE</t>
  </si>
  <si>
    <t>OUMAIMA</t>
  </si>
  <si>
    <t>EL FAIZ</t>
  </si>
  <si>
    <t>EL FAIZ EL MEHDI</t>
  </si>
  <si>
    <t>07 62 69 50 56</t>
  </si>
  <si>
    <t>BOULANGERIE BREAD HOUSE PRÈS DU ROND‐POINT CARREFOUR SALÉ</t>
  </si>
  <si>
    <t>NAHAL</t>
  </si>
  <si>
    <t>MAROUA</t>
  </si>
  <si>
    <t>NAHAL MAROUA</t>
  </si>
  <si>
    <t>06 96 67 56 96</t>
  </si>
  <si>
    <t>STATION TRAMWAY HASSANE 2 BETTANA SALE</t>
  </si>
  <si>
    <t>ZONE 2</t>
  </si>
  <si>
    <t>IKRAM</t>
  </si>
  <si>
    <t>ZOUHAIR</t>
  </si>
  <si>
    <t>HAJAR</t>
  </si>
  <si>
    <t>BIR RAMI BANQUE POPULAIRE</t>
  </si>
  <si>
    <t>AIT ELKANZA</t>
  </si>
  <si>
    <t>MARYAM</t>
  </si>
  <si>
    <t>AIT ELKANZA MARYAM</t>
  </si>
  <si>
    <t>HALHOUL</t>
  </si>
  <si>
    <t>NOUHAILA</t>
  </si>
  <si>
    <t>HALHOUL NOUHAILA</t>
  </si>
  <si>
    <t>06 27 54 54 13</t>
  </si>
  <si>
    <t>EL KHAIAM</t>
  </si>
  <si>
    <t>FADOUA</t>
  </si>
  <si>
    <t>EL KHAIAM FADOUA</t>
  </si>
  <si>
    <t>FATIMA ZAHRA</t>
  </si>
  <si>
    <t>DIRECTION DES IMPOTS SALA AL JADIDA</t>
  </si>
  <si>
    <t>HOPITAL MOULAY YOUSSEF</t>
  </si>
  <si>
    <t>DIOP</t>
  </si>
  <si>
    <t>GUEYE</t>
  </si>
  <si>
    <t>RESIDENCE TOUAHRI SALA JADIDA</t>
  </si>
  <si>
    <t>HAMMAM CHERKAOUI</t>
  </si>
  <si>
    <t>BOUNOUA</t>
  </si>
  <si>
    <t>BOUNOUA HAJAR</t>
  </si>
  <si>
    <t>06 17 08 83 41</t>
  </si>
  <si>
    <t>ZOUHAIR AMINE</t>
  </si>
  <si>
    <t>06 53 59 60 39</t>
  </si>
  <si>
    <t>MOSQUEE AMINA BENT WAHAB</t>
  </si>
  <si>
    <t>RAOUI</t>
  </si>
  <si>
    <t>RAOUI FADOUA</t>
  </si>
  <si>
    <t>06 05 14 62 28</t>
  </si>
  <si>
    <t>STATION TRAM GARE SALE MEDINA</t>
  </si>
  <si>
    <t>MERYEM</t>
  </si>
  <si>
    <t>TOUALI</t>
  </si>
  <si>
    <t>SOUKAYNA</t>
  </si>
  <si>
    <t>TOUALI SOUKAYNA</t>
  </si>
  <si>
    <t>06 15 93 65 47</t>
  </si>
  <si>
    <t>EL IDRISSI</t>
  </si>
  <si>
    <t>EL IDRISSI KAOUTAR</t>
  </si>
  <si>
    <t>06 60 74 31 61</t>
  </si>
  <si>
    <t>LYCEE CHARIF EL IDRISSI HAY RIAD</t>
  </si>
  <si>
    <t>18H</t>
  </si>
  <si>
    <t>17H</t>
  </si>
  <si>
    <t>19H</t>
  </si>
  <si>
    <t>12H</t>
  </si>
  <si>
    <t>SORTIES</t>
  </si>
  <si>
    <t>ZONE 3</t>
  </si>
  <si>
    <t>NDOYE</t>
  </si>
  <si>
    <t>MAME DIENE</t>
  </si>
  <si>
    <t>NDOYE MAME DIENE</t>
  </si>
  <si>
    <t>07 66 29 15 74</t>
  </si>
  <si>
    <t>20H</t>
  </si>
  <si>
    <t>14H</t>
  </si>
  <si>
    <t>13H</t>
  </si>
  <si>
    <t>DIMANCHE</t>
  </si>
  <si>
    <t>BADJI</t>
  </si>
  <si>
    <t>KHADIDIATOU</t>
  </si>
  <si>
    <t>06 44 79 31 87</t>
  </si>
  <si>
    <t>BADJI KHADIDIATOU</t>
  </si>
  <si>
    <t>ZAKARIA</t>
  </si>
  <si>
    <t>ABOUYOUSSEF</t>
  </si>
  <si>
    <t>BASMA</t>
  </si>
  <si>
    <t>06 30 76 74 03</t>
  </si>
  <si>
    <t xml:space="preserve">CATHEDRALE OCEAN </t>
  </si>
  <si>
    <t>KADI</t>
  </si>
  <si>
    <t>06 28 86 06 14</t>
  </si>
  <si>
    <t>RAHMOUNI</t>
  </si>
  <si>
    <t>06 00 21 08 10</t>
  </si>
  <si>
    <t>16H</t>
  </si>
  <si>
    <t>ABOUYOUSSEF BASMA</t>
  </si>
  <si>
    <t>BELFAKIR</t>
  </si>
  <si>
    <t>BELFAKIR IKRAM</t>
  </si>
  <si>
    <t>06 62 15 66 70</t>
  </si>
  <si>
    <t>KADI NOUHAILA</t>
  </si>
  <si>
    <t>RAHMOUNI FATIMA ZAHRA</t>
  </si>
  <si>
    <t>AFINDY</t>
  </si>
  <si>
    <t>CHAIMAA</t>
  </si>
  <si>
    <t>AFINDY CHAIMAA</t>
  </si>
  <si>
    <t>COFIDIS ITALIE</t>
  </si>
  <si>
    <t>06 87 82 63 30</t>
  </si>
  <si>
    <t>MOHAMMED</t>
  </si>
  <si>
    <t>COFIDIS FRANCE</t>
  </si>
  <si>
    <t>ARBOUBBA</t>
  </si>
  <si>
    <t>ARBOUBBA OUMAIMA</t>
  </si>
  <si>
    <t>Gestionnaire de flux</t>
  </si>
  <si>
    <t>07 00 72 43 28</t>
  </si>
  <si>
    <t>RESIDENCE NOUHA</t>
  </si>
  <si>
    <t>BAYEZ</t>
  </si>
  <si>
    <t>LAMYAE</t>
  </si>
  <si>
    <t>BAYEZ LAMYAE</t>
  </si>
  <si>
    <t>06 89 68 10 24</t>
  </si>
  <si>
    <t>ROND POINT AL MANAL</t>
  </si>
  <si>
    <t>BEL-MALEM</t>
  </si>
  <si>
    <t>MERIEM</t>
  </si>
  <si>
    <t>BEL-MALEM MERIEM</t>
  </si>
  <si>
    <t>06 77 51 27 80</t>
  </si>
  <si>
    <t xml:space="preserve">EN FACE RESIDENCE ANNAKHIL </t>
  </si>
  <si>
    <t>BELQASMI</t>
  </si>
  <si>
    <t>BELQASMI EL MEHDI</t>
  </si>
  <si>
    <t>06 15 47 84 06</t>
  </si>
  <si>
    <t>CAFE HSSINA</t>
  </si>
  <si>
    <t>BENGRAIN</t>
  </si>
  <si>
    <t>BADR</t>
  </si>
  <si>
    <t>BENGRAIN BADR</t>
  </si>
  <si>
    <t>06 39 41 68 90</t>
  </si>
  <si>
    <t>CHÂTEAU TAKADDOUM</t>
  </si>
  <si>
    <t>YOUNES</t>
  </si>
  <si>
    <t>CP</t>
  </si>
  <si>
    <t>GOOGLE LEADS</t>
  </si>
  <si>
    <t>BOUABID</t>
  </si>
  <si>
    <t>WALID</t>
  </si>
  <si>
    <t>BOUABID WALID</t>
  </si>
  <si>
    <t>07 08 06 30 15</t>
  </si>
  <si>
    <t>BOULHROUDE</t>
  </si>
  <si>
    <t>BOULHROUDE ZAKARIA</t>
  </si>
  <si>
    <t>06 82 37 94 79</t>
  </si>
  <si>
    <t>BOUMEZGANE</t>
  </si>
  <si>
    <t>SOUKAINA</t>
  </si>
  <si>
    <t>BOUMEZGANE SOUKAINA</t>
  </si>
  <si>
    <t>06 96 58 34 55</t>
  </si>
  <si>
    <t>ROND POINT HALIMA ROUTE DE KENITRA</t>
  </si>
  <si>
    <t>AFEDIM</t>
  </si>
  <si>
    <t>CHAACHOUI</t>
  </si>
  <si>
    <t>CHAACHOUI YOUSSEF</t>
  </si>
  <si>
    <t>CHERKAOUI</t>
  </si>
  <si>
    <t>CHERKAOUI YOUNES</t>
  </si>
  <si>
    <t>07 71 88 81 10</t>
  </si>
  <si>
    <t>CNSS TAKADDOUM</t>
  </si>
  <si>
    <t>REDAL SAID HAJJI</t>
  </si>
  <si>
    <t>DAGDAG</t>
  </si>
  <si>
    <t>DAGDAG YOUNES</t>
  </si>
  <si>
    <t>07 70 90 84 01</t>
  </si>
  <si>
    <t>DERKAOUI</t>
  </si>
  <si>
    <t>AMAL</t>
  </si>
  <si>
    <t>DERKAOUI AMAL</t>
  </si>
  <si>
    <t xml:space="preserve">06 89 28 69 29 </t>
  </si>
  <si>
    <t>ADJA ARAME</t>
  </si>
  <si>
    <t>DIOP ADJA ARAME</t>
  </si>
  <si>
    <t>06 82 79 72 16</t>
  </si>
  <si>
    <t>EL ATMANI</t>
  </si>
  <si>
    <t>ABOUBAKER</t>
  </si>
  <si>
    <t>EL ATMANI ABOUBAKER</t>
  </si>
  <si>
    <t>06 04 85 55 86</t>
  </si>
  <si>
    <t>EL BOUGADRAOUI</t>
  </si>
  <si>
    <t>HIBA</t>
  </si>
  <si>
    <t>EL BOUGADRAOUI HIBA</t>
  </si>
  <si>
    <t>PF</t>
  </si>
  <si>
    <t>06 64 64 03 40</t>
  </si>
  <si>
    <t>BOUCHRA</t>
  </si>
  <si>
    <t>EL FAIZ BOUCHRA</t>
  </si>
  <si>
    <t>06 99 67 70 84</t>
  </si>
  <si>
    <t>EL HARROUCHI</t>
  </si>
  <si>
    <t>CHAIMAE</t>
  </si>
  <si>
    <t>EL HARROUCHI CHAIMAE</t>
  </si>
  <si>
    <t>06 34 69 54 07</t>
  </si>
  <si>
    <t xml:space="preserve">STATION TOTAL SALA AL JADIDA </t>
  </si>
  <si>
    <t>EL HOUSSAINI</t>
  </si>
  <si>
    <t>HOUDA</t>
  </si>
  <si>
    <t>EL HOUSSAINI HOUDA</t>
  </si>
  <si>
    <t>HAY MOULAY ISMAIL, STATION TRAMWAY</t>
  </si>
  <si>
    <t>EL-AOUAQUI</t>
  </si>
  <si>
    <t>EL-AOUAQUI BOUCHRA</t>
  </si>
  <si>
    <t>06 33 89 22 00</t>
  </si>
  <si>
    <t>FALL</t>
  </si>
  <si>
    <t>PAPA ALASSANE</t>
  </si>
  <si>
    <t>FALL PAPA ALASSANE</t>
  </si>
  <si>
    <t>07 70 71 40 91</t>
  </si>
  <si>
    <t>FATOUMATA</t>
  </si>
  <si>
    <t>GUEYE FATOUMATA</t>
  </si>
  <si>
    <t>06 26 28 83 58</t>
  </si>
  <si>
    <t>MOSQUEE NAJAH</t>
  </si>
  <si>
    <t>HAOUACH</t>
  </si>
  <si>
    <t>HAOUACH IKRAM</t>
  </si>
  <si>
    <t>06 58 37 31 76</t>
  </si>
  <si>
    <t>HMIDOUCH</t>
  </si>
  <si>
    <t>FOUAD</t>
  </si>
  <si>
    <t>HMIDOUCH FOUAD</t>
  </si>
  <si>
    <t>06 74 23 90 72</t>
  </si>
  <si>
    <t>HRAM</t>
  </si>
  <si>
    <t>HRAM AMINE</t>
  </si>
  <si>
    <t>06 76 92 20 45</t>
  </si>
  <si>
    <t>ROND POINT LA CITE</t>
  </si>
  <si>
    <t>IDELHAJ</t>
  </si>
  <si>
    <t>Meriem</t>
  </si>
  <si>
    <t>IDELHAJ Meriem</t>
  </si>
  <si>
    <t>IDRISSI JAZOULI</t>
  </si>
  <si>
    <t>IDRISSI JAZOULI YOUSSEF</t>
  </si>
  <si>
    <t>06 93 90 00 90</t>
  </si>
  <si>
    <t>IHASSANE</t>
  </si>
  <si>
    <t>IHASSANE IKRAM</t>
  </si>
  <si>
    <t>06 87 27 60 67</t>
  </si>
  <si>
    <t>IRAQI HOUSSEINI</t>
  </si>
  <si>
    <t>KHAOULA</t>
  </si>
  <si>
    <t>IRAQI HOUSSEINI KHAOULA</t>
  </si>
  <si>
    <t>06 62 44 14 67</t>
  </si>
  <si>
    <t>DHL AGDAL</t>
  </si>
  <si>
    <t>KNADIL</t>
  </si>
  <si>
    <t>NAJOUA</t>
  </si>
  <si>
    <t>KNADIL NAJOUA</t>
  </si>
  <si>
    <t>06 03 09 10 96</t>
  </si>
  <si>
    <t>Parking Hôtel Relax</t>
  </si>
  <si>
    <t>LAADEL</t>
  </si>
  <si>
    <t>LAADEL HOUDA</t>
  </si>
  <si>
    <t>06 07 64 15 83</t>
  </si>
  <si>
    <t>LAAFIF</t>
  </si>
  <si>
    <t>OTMANE</t>
  </si>
  <si>
    <t>LAAFIF OTMANE</t>
  </si>
  <si>
    <t>Lafdil</t>
  </si>
  <si>
    <t>Nada</t>
  </si>
  <si>
    <t>Lafdil Nada</t>
  </si>
  <si>
    <t>06 89 20 23 80</t>
  </si>
  <si>
    <t>LEBIED</t>
  </si>
  <si>
    <t>LEBIED FATIMA ZAHRA</t>
  </si>
  <si>
    <t>06 95 18 16 89</t>
  </si>
  <si>
    <t>MEHDI</t>
  </si>
  <si>
    <t>NAGRAOUI</t>
  </si>
  <si>
    <t>ATEF</t>
  </si>
  <si>
    <t>NAGRAOUI ATEF</t>
  </si>
  <si>
    <t>06 54 98 00 85</t>
  </si>
  <si>
    <t>NAKHLA</t>
  </si>
  <si>
    <t>NAKHLA SOUKAINA</t>
  </si>
  <si>
    <t>06 81 68 87 64</t>
  </si>
  <si>
    <t>COMMISSARIAT LAAYAYDA</t>
  </si>
  <si>
    <t>NDIAYE</t>
  </si>
  <si>
    <t>PHARMACIE TAHIRI</t>
  </si>
  <si>
    <t>SALIF</t>
  </si>
  <si>
    <t>NDIAYE SALIF</t>
  </si>
  <si>
    <t>06 58 79 59 14</t>
  </si>
  <si>
    <t>NIANG</t>
  </si>
  <si>
    <t>NDEYE ABSA</t>
  </si>
  <si>
    <t>NIANG NDEYE ABSA</t>
  </si>
  <si>
    <t>07 03 73 76 50</t>
  </si>
  <si>
    <t>OUAQERROUCH</t>
  </si>
  <si>
    <t>NOUR-EL HOUDA</t>
  </si>
  <si>
    <t>OUAQERROUCH NOUR-EL HOUDA</t>
  </si>
  <si>
    <t>06 45 99 39 35</t>
  </si>
  <si>
    <t>OUBRAHIM</t>
  </si>
  <si>
    <t>OUBRAHIM MOHAMMED</t>
  </si>
  <si>
    <t>06 95 49 92 98</t>
  </si>
  <si>
    <t>RADGUI</t>
  </si>
  <si>
    <t>RADGUI SARA</t>
  </si>
  <si>
    <t>06 81 14 84 05</t>
  </si>
  <si>
    <t>ROUMANE</t>
  </si>
  <si>
    <t>ROUMANE KAOUTAR</t>
  </si>
  <si>
    <t>06 41 09 13 60</t>
  </si>
  <si>
    <t>SABRI</t>
  </si>
  <si>
    <t>AYOUB</t>
  </si>
  <si>
    <t>SABRI AYOUB</t>
  </si>
  <si>
    <t>07 77 29 76 02</t>
  </si>
  <si>
    <t>SGHIRI</t>
  </si>
  <si>
    <t>MOHAMED</t>
  </si>
  <si>
    <t>SGHIRI MOHAMED</t>
  </si>
  <si>
    <t>06 05 27 75 11</t>
  </si>
  <si>
    <t>THIENE</t>
  </si>
  <si>
    <t>OUMAR</t>
  </si>
  <si>
    <t>THIENE OUMAR</t>
  </si>
  <si>
    <t>07 66 45 14 79</t>
  </si>
  <si>
    <t>ZAKI</t>
  </si>
  <si>
    <t>OMAR</t>
  </si>
  <si>
    <t>ZAKI OMAR</t>
  </si>
  <si>
    <t>07 61 78 97 46</t>
  </si>
  <si>
    <t xml:space="preserve">TELEVENTE </t>
  </si>
  <si>
    <t>06 48 64 31 61</t>
  </si>
  <si>
    <t>ABDELAOUI</t>
  </si>
  <si>
    <t>KHADIJA</t>
  </si>
  <si>
    <t>ABDELAOUI KHADIJA</t>
  </si>
  <si>
    <t>06 80 38 09 27</t>
  </si>
  <si>
    <t>Bim LAAYAYDA</t>
  </si>
  <si>
    <t>DOHA</t>
  </si>
  <si>
    <t xml:space="preserve">SOUK DE VOITURE HAY SALAM </t>
  </si>
  <si>
    <t>EL BAHLOULY</t>
  </si>
  <si>
    <t>EL BAHLOULY DOHA</t>
  </si>
  <si>
    <t>07 06 09 55 46</t>
  </si>
  <si>
    <t>EL MAHJOUBI</t>
  </si>
  <si>
    <t>ABDESSATAR</t>
  </si>
  <si>
    <t>EL MAHJOUBI ABDESSATAR</t>
  </si>
  <si>
    <t>06 14 40 31 57</t>
  </si>
  <si>
    <t>AV ABDELKRIM LKHTABI FEU ROUGE</t>
  </si>
  <si>
    <t>MOUHAMED</t>
  </si>
  <si>
    <t>GUEYE MOUHAMED</t>
  </si>
  <si>
    <t>06 45 28 18 31</t>
  </si>
  <si>
    <t>LEHMOUCH</t>
  </si>
  <si>
    <t>LEHMOUCH NOUHAILA</t>
  </si>
  <si>
    <t>06 84 55 52 36</t>
  </si>
  <si>
    <t>RACHAD</t>
  </si>
  <si>
    <t>NAWAR</t>
  </si>
  <si>
    <t>RACHAD NAWAR</t>
  </si>
  <si>
    <t>ECOLE HSSAIN KARIA</t>
  </si>
  <si>
    <t>ZITOUNI</t>
  </si>
  <si>
    <t>LAMYA</t>
  </si>
  <si>
    <t>ZITOUNI LAMYA</t>
  </si>
  <si>
    <t xml:space="preserve">06 97 33 50 55 </t>
  </si>
  <si>
    <t>TELEVENTE</t>
  </si>
  <si>
    <t>EL BOUZIDI</t>
  </si>
  <si>
    <t>AZZEDINE</t>
  </si>
  <si>
    <t>EL BOUZIDI AZZEDINE</t>
  </si>
  <si>
    <t>06 33 43 65 58</t>
  </si>
  <si>
    <t>ILYASS</t>
  </si>
  <si>
    <t>CHERKAOUI ILYASS</t>
  </si>
  <si>
    <t>06 44 31 45 07</t>
  </si>
  <si>
    <t>LOUBNA</t>
  </si>
  <si>
    <t>SYLLA</t>
  </si>
  <si>
    <t>SOKHNA SAFIETOU</t>
  </si>
  <si>
    <t>SYLLA SOKHNA SAFIETOU</t>
  </si>
  <si>
    <t>06 64 13 70 14</t>
  </si>
  <si>
    <t>IMAD</t>
  </si>
  <si>
    <t>EN FACE RESIDENCE ANNAKHIL</t>
  </si>
  <si>
    <t xml:space="preserve">LES ECOLES SCIENTIFIQUES </t>
  </si>
  <si>
    <t>BELKHEIRFIH</t>
  </si>
  <si>
    <t>BELKHEIRFIH ZINEB</t>
  </si>
  <si>
    <t>LAZAAR</t>
  </si>
  <si>
    <t>LAZAAR OUMAIMA</t>
  </si>
  <si>
    <t>07 15 66 59 09</t>
  </si>
  <si>
    <t>06 38 34 09 56</t>
  </si>
  <si>
    <t>DGI SALA AL JADIDA</t>
  </si>
  <si>
    <t xml:space="preserve">BAB CHAAFA SALE </t>
  </si>
  <si>
    <t>EL FENICH</t>
  </si>
  <si>
    <t>EL FENICH CHAIMAA</t>
  </si>
  <si>
    <t>06 49 31 75 79</t>
  </si>
  <si>
    <t>LA GARE KENITRA</t>
  </si>
  <si>
    <t>07 21 48 48 36</t>
  </si>
  <si>
    <t>Meryem</t>
  </si>
  <si>
    <t>JOUALI Meryem</t>
  </si>
  <si>
    <t>06 42 84 46 70</t>
  </si>
  <si>
    <t xml:space="preserve">MARJANE SALE </t>
  </si>
  <si>
    <t>BOUMLIK</t>
  </si>
  <si>
    <t>BOUMLIK MERYEM</t>
  </si>
  <si>
    <t>06 90 99 63 00</t>
  </si>
  <si>
    <t>JNANATE</t>
  </si>
  <si>
    <t>SAAD</t>
  </si>
  <si>
    <t>06 32 79 85 05</t>
  </si>
  <si>
    <t>BOUKILI</t>
  </si>
  <si>
    <t>FATIMA EZZAHRA</t>
  </si>
  <si>
    <t>BOUKILI FATIMA EZZAHRA</t>
  </si>
  <si>
    <t>MAMADOU MOUSTAPHA DOKY</t>
  </si>
  <si>
    <t>DIOP MAMADOU MOUSTAPHA DOKY</t>
  </si>
  <si>
    <t>Mohamed</t>
  </si>
  <si>
    <t>JOUALI</t>
  </si>
  <si>
    <t>JNANATE SAAD</t>
  </si>
  <si>
    <t>ABBASSI</t>
  </si>
  <si>
    <t>YASSIR</t>
  </si>
  <si>
    <t>ABBASSI YASSIR</t>
  </si>
  <si>
    <t>06 47 97 96 44</t>
  </si>
  <si>
    <t xml:space="preserve">DHL AGDAL </t>
  </si>
  <si>
    <t>AIT ALI</t>
  </si>
  <si>
    <t>AIT ALI LOUBNA</t>
  </si>
  <si>
    <t>06 60 64 89 02</t>
  </si>
  <si>
    <t>JAGHRI</t>
  </si>
  <si>
    <t>HALA</t>
  </si>
  <si>
    <t>JAGHRI HALA</t>
  </si>
  <si>
    <t>06 34 55 93 90</t>
  </si>
  <si>
    <t>HASSARI</t>
  </si>
  <si>
    <t>HASSARI YOUNES</t>
  </si>
  <si>
    <t>IPUR</t>
  </si>
  <si>
    <t>SALE SALA AL JADIDA</t>
  </si>
  <si>
    <t>SURETE NATIONAL CENTRALE DE KENITRA</t>
  </si>
  <si>
    <t>En face snack el ouazzani agdal</t>
  </si>
  <si>
    <t>CAFE AL ANDALOUS CYM</t>
  </si>
  <si>
    <t xml:space="preserve">GOOGLE LEADS </t>
  </si>
  <si>
    <t>AIT RABIAA</t>
  </si>
  <si>
    <t>AIT RABIAA NOUHAILA</t>
  </si>
  <si>
    <t>06 24 56 94 36</t>
  </si>
  <si>
    <t>NOUIBI</t>
  </si>
  <si>
    <t xml:space="preserve">NOUIBI CHAIMAE </t>
  </si>
  <si>
    <t>06 01 70 00 00</t>
  </si>
  <si>
    <t xml:space="preserve">FLOA </t>
  </si>
  <si>
    <t xml:space="preserve">ROND POINT McDonald’s </t>
  </si>
  <si>
    <t>BELGHOULI</t>
  </si>
  <si>
    <t xml:space="preserve">BELGHOULI MOHAMED </t>
  </si>
  <si>
    <t>06 01 21 83 75</t>
  </si>
  <si>
    <t>OTHMANE</t>
  </si>
  <si>
    <t xml:space="preserve">RHOUDANE OTHMANE </t>
  </si>
  <si>
    <t>06 55 09 00 72</t>
  </si>
  <si>
    <t xml:space="preserve">OUHOUD PATISSERIE </t>
  </si>
  <si>
    <t>MOSQUEE ENNOUR ( MILANO)</t>
  </si>
  <si>
    <t>MOSQUEE TADAMOUN KARIA</t>
  </si>
  <si>
    <t>RHOUDANE</t>
  </si>
  <si>
    <t>MARJANE SALE</t>
  </si>
  <si>
    <t>ABDOULAYE</t>
  </si>
  <si>
    <t>07 74 46 12 73</t>
  </si>
  <si>
    <t>BENMATTALLA</t>
  </si>
  <si>
    <t>BENMATTALLA SAAD</t>
  </si>
  <si>
    <t>06 02 62 95 06</t>
  </si>
  <si>
    <t>KERROUMI</t>
  </si>
  <si>
    <t xml:space="preserve">KERROUMI Mehdi </t>
  </si>
  <si>
    <t>06 63 08 80 76</t>
  </si>
  <si>
    <t>MAO</t>
  </si>
  <si>
    <t>06 25 31 88 01</t>
  </si>
  <si>
    <t xml:space="preserve">MAROC TELECOM SALA AL JADIDA </t>
  </si>
  <si>
    <t>GHITA</t>
  </si>
  <si>
    <t>06 66 48 13 34</t>
  </si>
  <si>
    <t>PHARMACIE HAY EL FATH</t>
  </si>
  <si>
    <t>EL HASSAN</t>
  </si>
  <si>
    <t>06 21 85 38 60</t>
  </si>
  <si>
    <t xml:space="preserve">REGIE TABAC SALE </t>
  </si>
  <si>
    <t>IGDAD</t>
  </si>
  <si>
    <t>MOUNA</t>
  </si>
  <si>
    <t>IGDAD MOUNA</t>
  </si>
  <si>
    <t>KA</t>
  </si>
  <si>
    <t>SAMBA</t>
  </si>
  <si>
    <t xml:space="preserve">KA SAMBA </t>
  </si>
  <si>
    <t>06 90 62 42 96</t>
  </si>
  <si>
    <t xml:space="preserve">CHEIKH DAOUI </t>
  </si>
  <si>
    <t>AMMATA</t>
  </si>
  <si>
    <t>Yassine</t>
  </si>
  <si>
    <t>AMMATA Yassine</t>
  </si>
  <si>
    <t>06 06 30 61 81</t>
  </si>
  <si>
    <t>CAFE SOUZANA HAY NAHADA</t>
  </si>
  <si>
    <t>LAMGANDAZ</t>
  </si>
  <si>
    <t>Abdellah</t>
  </si>
  <si>
    <t>LAMGANDAZ Abdellah</t>
  </si>
  <si>
    <t>06 65  28 21 20</t>
  </si>
  <si>
    <t>SALL</t>
  </si>
  <si>
    <t>SALL YACINE</t>
  </si>
  <si>
    <t>06 90 06 70 65</t>
  </si>
  <si>
    <t>DAHMANI</t>
  </si>
  <si>
    <t>AZDINE</t>
  </si>
  <si>
    <t>DAHMANI AZDINE</t>
  </si>
  <si>
    <t>06 13 93 71 47</t>
  </si>
  <si>
    <t>MOSQUE AMINE BENT WAHAB</t>
  </si>
  <si>
    <t>EL MAADADI YOUSSEF</t>
  </si>
  <si>
    <t>MANGA</t>
  </si>
  <si>
    <t>IBRAHIM</t>
  </si>
  <si>
    <t>IBRAHIM MANGA</t>
  </si>
  <si>
    <t>07 79 63 92 14</t>
  </si>
  <si>
    <t xml:space="preserve">JAAFAR  MOHAMMED </t>
  </si>
  <si>
    <t xml:space="preserve">07 77 39 85 29 </t>
  </si>
  <si>
    <t xml:space="preserve">JARDIN G5 </t>
  </si>
  <si>
    <t>YACINE</t>
  </si>
  <si>
    <t>EL MAADADI</t>
  </si>
  <si>
    <t>JAAFAR</t>
  </si>
  <si>
    <t>BENHMIDOU</t>
  </si>
  <si>
    <t>Jihane</t>
  </si>
  <si>
    <t xml:space="preserve">BENHMIDOU Jihane </t>
  </si>
  <si>
    <t>06 90 91 01 52</t>
  </si>
  <si>
    <t xml:space="preserve">CAFE BAVARIA /BMCI </t>
  </si>
  <si>
    <t>HARIRI</t>
  </si>
  <si>
    <t>RIME</t>
  </si>
  <si>
    <t xml:space="preserve">HARIRI RIME </t>
  </si>
  <si>
    <t>06 74 09 65 90</t>
  </si>
  <si>
    <t>06H</t>
  </si>
  <si>
    <t>GORA</t>
  </si>
  <si>
    <t xml:space="preserve">07 01 95 63 24 </t>
  </si>
  <si>
    <t>SOUK DE VOITURE HAY SALAM</t>
  </si>
  <si>
    <t>06 37 53 83 78</t>
  </si>
  <si>
    <t>FALL MAO</t>
  </si>
  <si>
    <t>ELHAJRAJI</t>
  </si>
  <si>
    <t>ELHAJRAJI GHITA</t>
  </si>
  <si>
    <t>ALAOUI M'HAMDI</t>
  </si>
  <si>
    <t>ALAOUI M'HAMDI EL HASSAN</t>
  </si>
  <si>
    <t>06 81 89 99 87</t>
  </si>
  <si>
    <t>SOW</t>
  </si>
  <si>
    <t>SOW ABDOULAYE</t>
  </si>
  <si>
    <t xml:space="preserve">06 51 89 09 07 </t>
  </si>
  <si>
    <t>CM Leasing</t>
  </si>
  <si>
    <t>GUEYE GORA</t>
  </si>
  <si>
    <t>EL BRINSI</t>
  </si>
  <si>
    <t>EL BRINSSI MOHAMED</t>
  </si>
  <si>
    <t>06 74 34 20 84</t>
  </si>
  <si>
    <t>AIT LARBI</t>
  </si>
  <si>
    <t>HIND</t>
  </si>
  <si>
    <t>AIT LARBI HIND</t>
  </si>
  <si>
    <t>06 37 38 50 30</t>
  </si>
  <si>
    <t>REDAL KWASS CYM</t>
  </si>
  <si>
    <t>ESSABERY</t>
  </si>
  <si>
    <t>ISMAIL</t>
  </si>
  <si>
    <t>ESSABERY ISMAIL</t>
  </si>
  <si>
    <t>06 76 05 93 30</t>
  </si>
  <si>
    <t>BENSALLAM</t>
  </si>
  <si>
    <t>HANAN</t>
  </si>
  <si>
    <t>BENSALLAM HANAN</t>
  </si>
  <si>
    <t>06 49 52 34 14</t>
  </si>
  <si>
    <t>OULIDA</t>
  </si>
  <si>
    <t>OULIDA BASMA</t>
  </si>
  <si>
    <t>07 21 60 79 41</t>
  </si>
  <si>
    <t>DHL TEMARA</t>
  </si>
  <si>
    <t>RHEMARI</t>
  </si>
  <si>
    <t>REDA</t>
  </si>
  <si>
    <t>RHEMARI REDA</t>
  </si>
  <si>
    <t>06  37 12 24 13</t>
  </si>
  <si>
    <t>SUPER HAY RAHMA</t>
  </si>
  <si>
    <t>GOMIS</t>
  </si>
  <si>
    <t>AMINATA AGNES</t>
  </si>
  <si>
    <t>GOMIS AMINATA AGNES</t>
  </si>
  <si>
    <t xml:space="preserve">06 25 45 12 44 </t>
  </si>
  <si>
    <t>ROKHAYA</t>
  </si>
  <si>
    <t>TOURE</t>
  </si>
  <si>
    <t>ABIBOU</t>
  </si>
  <si>
    <t>TOURE ABIBOU</t>
  </si>
  <si>
    <t>07 83 49 75 45</t>
  </si>
  <si>
    <t>EL GUARJAOUI</t>
  </si>
  <si>
    <t>EL GUARJAOUI HIBA</t>
  </si>
  <si>
    <t>06 73 71 10 70</t>
  </si>
  <si>
    <t xml:space="preserve">CAFE ZAGOURA MASSIRA 1 </t>
  </si>
  <si>
    <t>BA</t>
  </si>
  <si>
    <t>THIERNO HAMDOU</t>
  </si>
  <si>
    <t>BA THIERNO HAMDOU</t>
  </si>
  <si>
    <t>06 48 64 02 75</t>
  </si>
  <si>
    <t>KANTAOUI</t>
  </si>
  <si>
    <t>KANTAOUI SALMA</t>
  </si>
  <si>
    <t>06 15 21 09 07</t>
  </si>
  <si>
    <t>ZIOUI</t>
  </si>
  <si>
    <t>DOUNIA</t>
  </si>
  <si>
    <t>ZIOUI DOUNIA</t>
  </si>
  <si>
    <t>07 72 19 77 15</t>
  </si>
  <si>
    <t>EL IDRISSI ELHASSANI</t>
  </si>
  <si>
    <t>MAHA</t>
  </si>
  <si>
    <t>EL IDRISSI ELHASSANI MAHA</t>
  </si>
  <si>
    <t>06 01 64 85 44</t>
  </si>
  <si>
    <t>BARA</t>
  </si>
  <si>
    <t>BARA HAJAR</t>
  </si>
  <si>
    <t>06 33 82 16 40</t>
  </si>
  <si>
    <t>DIOUF</t>
  </si>
  <si>
    <t>OUSSMANE</t>
  </si>
  <si>
    <t>DIOUF OUSSMANE</t>
  </si>
  <si>
    <t>06 29 22 34 44</t>
  </si>
  <si>
    <t>KACHBA</t>
  </si>
  <si>
    <t>KACHBA DOHA</t>
  </si>
  <si>
    <t>07 71 05 23 92</t>
  </si>
  <si>
    <t xml:space="preserve">PHARMACIE OUADGHIRI HAY SALAMA </t>
  </si>
  <si>
    <t>SEYNABOU</t>
  </si>
  <si>
    <t>NDIAYE SEYNABOU</t>
  </si>
  <si>
    <t>06 42 95 35 66</t>
  </si>
  <si>
    <t>BOUABDILLAH</t>
  </si>
  <si>
    <t>BOUABDILLAH ZAKARIA</t>
  </si>
  <si>
    <t>06 06 54 30 32</t>
  </si>
  <si>
    <t xml:space="preserve">LA POSTE TABRIQUET </t>
  </si>
  <si>
    <t>LIMANE</t>
  </si>
  <si>
    <t>LIMANE HIBA</t>
  </si>
  <si>
    <t>06 28 91 95 36</t>
  </si>
  <si>
    <t>EL MOUBARIK</t>
  </si>
  <si>
    <t>OUMNIA</t>
  </si>
  <si>
    <t>EL MOUBARIK OUMNIA</t>
  </si>
  <si>
    <t>AYA</t>
  </si>
  <si>
    <t>TAOUIL</t>
  </si>
  <si>
    <t>TAOUIL AYA</t>
  </si>
  <si>
    <t>07 06 16 52 34</t>
  </si>
  <si>
    <t>BENCOX GYM</t>
  </si>
  <si>
    <t>GLF</t>
  </si>
  <si>
    <t>STATION AFRIQUIA SALA AL JADIDA</t>
  </si>
  <si>
    <t>SANE</t>
  </si>
  <si>
    <t>MOHAMMED LAMINE</t>
  </si>
  <si>
    <t>SANE MOHAMMED LAMINE</t>
  </si>
  <si>
    <t>06 60 95 14 00</t>
  </si>
  <si>
    <t>NADA</t>
  </si>
  <si>
    <t>KANDI</t>
  </si>
  <si>
    <t>06 10 52 65 31</t>
  </si>
  <si>
    <t>MBENE</t>
  </si>
  <si>
    <t>MBENE GUEYE</t>
  </si>
  <si>
    <t>06 44 75 05 40</t>
  </si>
  <si>
    <t>GARE KENITRA</t>
  </si>
  <si>
    <t>NDAW</t>
  </si>
  <si>
    <t>IBRAHIMA</t>
  </si>
  <si>
    <t>NDAW IBRAHIMA</t>
  </si>
  <si>
    <t xml:space="preserve">06 42 53 99 51 </t>
  </si>
  <si>
    <t>06 12 44 34 75</t>
  </si>
  <si>
    <t xml:space="preserve">KANDI FATIMA ZAHRA </t>
  </si>
  <si>
    <t>La base hay salam</t>
  </si>
  <si>
    <t>FONDOQIA</t>
  </si>
  <si>
    <t>Cafe DAMAS</t>
  </si>
  <si>
    <t>06 63 41 88 25</t>
  </si>
  <si>
    <t>Centre de Formation dans les Métiers de l'Automobiles BIR RAMI EST</t>
  </si>
  <si>
    <t>STATION AKKARI-RABAT</t>
  </si>
  <si>
    <t>FAYE</t>
  </si>
  <si>
    <t>KHADY</t>
  </si>
  <si>
    <t>FAYE KHADY</t>
  </si>
  <si>
    <t>06 54 72 89 65</t>
  </si>
  <si>
    <t>TOYOTA HAY AL AMAL CAFE RELAIS SALE</t>
  </si>
  <si>
    <t>NDAO</t>
  </si>
  <si>
    <t>06 87 31 59 62</t>
  </si>
  <si>
    <t>MARIAMA</t>
  </si>
  <si>
    <t>NDIAYE MARIAMA</t>
  </si>
  <si>
    <t>07 84 88 03 56</t>
  </si>
  <si>
    <t xml:space="preserve">TEMARA CENTRE BANQUE POPULAIRE </t>
  </si>
  <si>
    <t xml:space="preserve">EL BOUHALI </t>
  </si>
  <si>
    <t>SOUAD</t>
  </si>
  <si>
    <t>06 60  93 40 94</t>
  </si>
  <si>
    <t xml:space="preserve">ISTA HAY NAHDA </t>
  </si>
  <si>
    <t>EL BOURAINI</t>
  </si>
  <si>
    <t>NABIL</t>
  </si>
  <si>
    <t>EL BOURAINI NABIL</t>
  </si>
  <si>
    <t>06 54 47 65 45</t>
  </si>
  <si>
    <t xml:space="preserve">NDAO FATOU KINE </t>
  </si>
  <si>
    <t>07 74 12 52 18</t>
  </si>
  <si>
    <t>CHAKAR</t>
  </si>
  <si>
    <t>CHAKAR BASMA</t>
  </si>
  <si>
    <t>ROUADI</t>
  </si>
  <si>
    <t>ROUADI FADOUA</t>
  </si>
  <si>
    <t>LE RIVAGE</t>
  </si>
  <si>
    <t>LAANEB</t>
  </si>
  <si>
    <t>LAANEB NADA</t>
  </si>
  <si>
    <t>EL MRABET</t>
  </si>
  <si>
    <t>ZAYED</t>
  </si>
  <si>
    <t>EL MRABET ZAYED</t>
  </si>
  <si>
    <t>06 63 31 75 63</t>
  </si>
  <si>
    <t>07 72 97 73 40</t>
  </si>
  <si>
    <t>07 72 59 26 96</t>
  </si>
  <si>
    <t>06 81 14 94 76</t>
  </si>
  <si>
    <t>06-63-06-31-61 </t>
  </si>
  <si>
    <t>LA GARE AGDAL AV HASSAN II</t>
  </si>
  <si>
    <t>HABBOUB</t>
  </si>
  <si>
    <t>KARIM</t>
  </si>
  <si>
    <t>HABBOUB KARIM</t>
  </si>
  <si>
    <t>06 73 90 46 00</t>
  </si>
  <si>
    <t>M'BARKI</t>
  </si>
  <si>
    <t>IMANE</t>
  </si>
  <si>
    <t>M'BARKI IMANE</t>
  </si>
  <si>
    <t>06 95 12 42 29</t>
  </si>
  <si>
    <t>CDG RABAT</t>
  </si>
  <si>
    <t>AIT ADDI</t>
  </si>
  <si>
    <t>AIT ADDI KHADIJA</t>
  </si>
  <si>
    <t>07 22 09 26 98</t>
  </si>
  <si>
    <t>BELLARAJ</t>
  </si>
  <si>
    <t>ILHAME</t>
  </si>
  <si>
    <t>BELLARAJ ILHAME</t>
  </si>
  <si>
    <t>07 63 13 03 14</t>
  </si>
  <si>
    <t>DAMI</t>
  </si>
  <si>
    <t>DAMI OUMAIMA</t>
  </si>
  <si>
    <t>06 36 49 02 69</t>
  </si>
  <si>
    <t>MAMADOU</t>
  </si>
  <si>
    <t>DIOP MAMADOU</t>
  </si>
  <si>
    <t>07 83 52 11 86</t>
  </si>
  <si>
    <t>CAFE DIWAN SALA AL JADIDA</t>
  </si>
  <si>
    <t>NIZAR</t>
  </si>
  <si>
    <t>LAKHAL</t>
  </si>
  <si>
    <t>LAKHAL MEHDI</t>
  </si>
  <si>
    <t>JALAL</t>
  </si>
  <si>
    <t>NABILA</t>
  </si>
  <si>
    <t>JALAL NABILA</t>
  </si>
  <si>
    <t>06 21 69 99 53</t>
  </si>
  <si>
    <t>06 96 52 40 37</t>
  </si>
  <si>
    <t>AKHSASS</t>
  </si>
  <si>
    <t>MAJDA</t>
  </si>
  <si>
    <t>AKHSASS MAJDA</t>
  </si>
  <si>
    <t>06 30 28 86 25</t>
  </si>
  <si>
    <t>BENNIS</t>
  </si>
  <si>
    <t>06 56 92 86 33</t>
  </si>
  <si>
    <t>BELHAJ</t>
  </si>
  <si>
    <t>06 65 97 72 46</t>
  </si>
  <si>
    <t>TAZI</t>
  </si>
  <si>
    <t>06 04 73 15 80</t>
  </si>
  <si>
    <t>BENHAMMED</t>
  </si>
  <si>
    <t>YAHYA</t>
  </si>
  <si>
    <t>06 58 76 38 40</t>
  </si>
  <si>
    <t>06 16 08 09 85</t>
  </si>
  <si>
    <t>BELHAJ ZINEB</t>
  </si>
  <si>
    <t>BENHAMMED YAHYA</t>
  </si>
  <si>
    <t>BENNIS ZINEB</t>
  </si>
  <si>
    <t>OUALID SALMA</t>
  </si>
  <si>
    <t>TAZI NIZAR</t>
  </si>
  <si>
    <t>D'HAICH</t>
  </si>
  <si>
    <t>D'HAICH IMANE</t>
  </si>
  <si>
    <t>06 16 80 46 62</t>
  </si>
  <si>
    <t xml:space="preserve">DAC CREDIT </t>
  </si>
  <si>
    <t>SAADA</t>
  </si>
  <si>
    <t>LINA</t>
  </si>
  <si>
    <t>SAADA LINA</t>
  </si>
  <si>
    <t>06 84 21 92 71</t>
  </si>
  <si>
    <t>LA POSTE SALA AL JADIDA</t>
  </si>
  <si>
    <t>EL HOUJJAJI</t>
  </si>
  <si>
    <t>SOUFIANE</t>
  </si>
  <si>
    <t xml:space="preserve">EL HOUJJAJI Soufiane </t>
  </si>
  <si>
    <t>06 68 05 16 39</t>
  </si>
  <si>
    <t>ROUHI</t>
  </si>
  <si>
    <t>KHAWLA</t>
  </si>
  <si>
    <t>06 30 15 03 88</t>
  </si>
  <si>
    <t>MEHDIA MALL</t>
  </si>
  <si>
    <t>HEJIOUEJ</t>
  </si>
  <si>
    <t>NAJWA</t>
  </si>
  <si>
    <t>06 63 69 03 65</t>
  </si>
  <si>
    <t>AKWASS SALE</t>
  </si>
  <si>
    <t>ZOUBIR</t>
  </si>
  <si>
    <t>06 93 28 29 02</t>
  </si>
  <si>
    <t>LISSAOUI</t>
  </si>
  <si>
    <t>LISSAOUI HIBA</t>
  </si>
  <si>
    <t xml:space="preserve">Accessibilité </t>
  </si>
  <si>
    <t>06 25 79 47 45</t>
  </si>
  <si>
    <t>LYCEE SCIENTIFIQUES</t>
  </si>
  <si>
    <t>RMAIDI</t>
  </si>
  <si>
    <t>RMAIDI IMAD</t>
  </si>
  <si>
    <t>06 44 93 74 73</t>
  </si>
  <si>
    <t>HAMDANI</t>
  </si>
  <si>
    <t>HAMDANI MOHAMED</t>
  </si>
  <si>
    <t>06 34 11 13 97</t>
  </si>
  <si>
    <t>GROUPE SCOLAIRE LA CHANDELLE</t>
  </si>
  <si>
    <t>ROUHI KHAWLA</t>
  </si>
  <si>
    <t>HEJIOUEJ NAJWA</t>
  </si>
  <si>
    <t>ZOUBIR OUMAIMA</t>
  </si>
  <si>
    <t>AMIMI</t>
  </si>
  <si>
    <t>GUELDI</t>
  </si>
  <si>
    <t>AMJAD</t>
  </si>
  <si>
    <t>BOYE</t>
  </si>
  <si>
    <t>MEDOUNE</t>
  </si>
  <si>
    <t>SAMB</t>
  </si>
  <si>
    <t>MAME MBENE</t>
  </si>
  <si>
    <t>MAME FAMA</t>
  </si>
  <si>
    <t>BASSENE</t>
  </si>
  <si>
    <t>FILOMENE CATHERINE</t>
  </si>
  <si>
    <t>DIALLO</t>
  </si>
  <si>
    <t>FATOU</t>
  </si>
  <si>
    <t>MBAYE</t>
  </si>
  <si>
    <t>AMIMI FATIMA EZZAHRA</t>
  </si>
  <si>
    <t>06 88 88 95 62</t>
  </si>
  <si>
    <t>GUELDI AMJAD</t>
  </si>
  <si>
    <t>06 15 84 64 57</t>
  </si>
  <si>
    <t>BOYE MEDOUNE</t>
  </si>
  <si>
    <t>07 71 42 46 25</t>
  </si>
  <si>
    <t>SAMB MAME MBENE</t>
  </si>
  <si>
    <t>06 65 77 70 47</t>
  </si>
  <si>
    <t>GUEYE MAME FAMA</t>
  </si>
  <si>
    <t>06 80 43 42 77</t>
  </si>
  <si>
    <t>BASSENE FILOMENE CATHERINE</t>
  </si>
  <si>
    <t>06 93 07 80 01</t>
  </si>
  <si>
    <t>DIALLO FATOU</t>
  </si>
  <si>
    <t>06 76 01 14 39</t>
  </si>
  <si>
    <t>MBAYE FATOU</t>
  </si>
  <si>
    <t>06 49 07 69 38</t>
  </si>
  <si>
    <t>11H</t>
  </si>
  <si>
    <t>SY</t>
  </si>
  <si>
    <t xml:space="preserve">MBOUP </t>
  </si>
  <si>
    <t>EL HADJI CHEIKH</t>
  </si>
  <si>
    <t>MBOUP EL HADJI CHEIKH</t>
  </si>
  <si>
    <t>07 77 51 80 65</t>
  </si>
  <si>
    <t>BENCHARRI</t>
  </si>
  <si>
    <t>RAQAI</t>
  </si>
  <si>
    <t>BOUHALI</t>
  </si>
  <si>
    <t>AOUADY</t>
  </si>
  <si>
    <t>MATOU</t>
  </si>
  <si>
    <t>DIAKHOUMPA</t>
  </si>
  <si>
    <t>ESSMAKI</t>
  </si>
  <si>
    <t>MAME DIARRA</t>
  </si>
  <si>
    <t>BENCHARRI MERYEM</t>
  </si>
  <si>
    <t>RAQAI ZINEB</t>
  </si>
  <si>
    <t>BOUHALI RIME</t>
  </si>
  <si>
    <t>AOUADY SAAD</t>
  </si>
  <si>
    <t>MATOU DIAKHOUMPA</t>
  </si>
  <si>
    <t>ESSMAKI MAROUA</t>
  </si>
  <si>
    <t>NDIAYE MAME DIARRA</t>
  </si>
  <si>
    <t>06 94 26 34 39</t>
  </si>
  <si>
    <t>06 74 50 76 30</t>
  </si>
  <si>
    <t>07 15 17 51 51</t>
  </si>
  <si>
    <t>06 51 45 00 47</t>
  </si>
  <si>
    <t>07 79 84 72 38</t>
  </si>
  <si>
    <t>06 14 52 77 33</t>
  </si>
  <si>
    <t>06 08 40 22 27</t>
  </si>
  <si>
    <t>NGOM SALIOU</t>
  </si>
  <si>
    <t>NGOM</t>
  </si>
  <si>
    <t>SALIOU</t>
  </si>
  <si>
    <t>07 12 63 20 05</t>
  </si>
  <si>
    <t xml:space="preserve">EBRA PRESSE </t>
  </si>
  <si>
    <t>HAMDOUNI</t>
  </si>
  <si>
    <t>YASSER</t>
  </si>
  <si>
    <t>CHAYAH</t>
  </si>
  <si>
    <t>EL AMRANI</t>
  </si>
  <si>
    <t>ABDELMOUGHIT</t>
  </si>
  <si>
    <t>07 62 67 72 59</t>
  </si>
  <si>
    <t>06 41 10 53 48</t>
  </si>
  <si>
    <t>07 03 84 14 48</t>
  </si>
  <si>
    <t>PHARMACIE AL JAZIRA</t>
  </si>
  <si>
    <t>HAMDOUNI YASSER</t>
  </si>
  <si>
    <t>CHAYAH CHAIMAE</t>
  </si>
  <si>
    <t>EL AMRANI ABDELMOUGHIT</t>
  </si>
  <si>
    <t>CAFE FELICITA</t>
  </si>
  <si>
    <t>TALL</t>
  </si>
  <si>
    <t>AMINATA</t>
  </si>
  <si>
    <t>SGHIR</t>
  </si>
  <si>
    <t>ZINE EDDINE</t>
  </si>
  <si>
    <t>TENNING</t>
  </si>
  <si>
    <t>ABBOUCHA</t>
  </si>
  <si>
    <t>06 13 75 54 92</t>
  </si>
  <si>
    <t>07 21 53 97 37</t>
  </si>
  <si>
    <t>06 04 01 27 74</t>
  </si>
  <si>
    <t>07 75 33 38 58</t>
  </si>
  <si>
    <t xml:space="preserve">PHARMACIE AL JAZIRA </t>
  </si>
  <si>
    <t>07 80 13 56 63</t>
  </si>
  <si>
    <t>EL BOUHALI SOUAD</t>
  </si>
  <si>
    <t>TALL AMINATA</t>
  </si>
  <si>
    <t>SGHIR ZINE EDDINE</t>
  </si>
  <si>
    <t>FALL TENNING</t>
  </si>
  <si>
    <t>ABBOUCHA NADA</t>
  </si>
  <si>
    <t>Rond point SIDI Moussa</t>
  </si>
  <si>
    <t>07 62 28 29 18</t>
  </si>
  <si>
    <t>Maisons des jeunes Tabriquet</t>
  </si>
  <si>
    <t>CAFE OMAR</t>
  </si>
  <si>
    <t>STATION TRAM TABRIQUET</t>
  </si>
  <si>
    <t>AMRI</t>
  </si>
  <si>
    <t>06 20 42 49 69</t>
  </si>
  <si>
    <t>station ifriqia sala al jadida</t>
  </si>
  <si>
    <t>AHMED</t>
  </si>
  <si>
    <t>OUERRADI</t>
  </si>
  <si>
    <t>06 63 81 78 75</t>
  </si>
  <si>
    <t>SOUOUD</t>
  </si>
  <si>
    <t>06 68 58 58 66</t>
  </si>
  <si>
    <t>SBAR</t>
  </si>
  <si>
    <t>SANAE</t>
  </si>
  <si>
    <t>06 12 91 93 09</t>
  </si>
  <si>
    <t>STATION TOTAL Avenue Hassan 2</t>
  </si>
  <si>
    <t>BOULLOUH</t>
  </si>
  <si>
    <t>HADDOU</t>
  </si>
  <si>
    <t>06 99 14 97 57</t>
  </si>
  <si>
    <t>CIH BANQUE SALA AL JADIDA</t>
  </si>
  <si>
    <t>MESKOURI</t>
  </si>
  <si>
    <t>06 70 53 79 44</t>
  </si>
  <si>
    <t>AL OMRAN MIMOSA</t>
  </si>
  <si>
    <t>COMMISSARIAT WIFAK</t>
  </si>
  <si>
    <t>MOSQUEE SALAM</t>
  </si>
  <si>
    <t xml:space="preserve">MOSQUEE SALAM </t>
  </si>
  <si>
    <t xml:space="preserve">STATION CHIGUA </t>
  </si>
  <si>
    <t>AMRI ZINEB</t>
  </si>
  <si>
    <t>OUERRADI ZOUHAIR</t>
  </si>
  <si>
    <t>SOUOUD ZAKARIA</t>
  </si>
  <si>
    <t>SBAR SANAE</t>
  </si>
  <si>
    <t>BOULLOUH HADDOU</t>
  </si>
  <si>
    <t>MESKOURI NABILA</t>
  </si>
  <si>
    <t>BENMOUSSA</t>
  </si>
  <si>
    <t>EL MEHDI YASSIN</t>
  </si>
  <si>
    <t>06 45 85 39 94</t>
  </si>
  <si>
    <t>MAROC TELECOM SALA AL JADIDA</t>
  </si>
  <si>
    <t>CISSE</t>
  </si>
  <si>
    <t>SOUADOU</t>
  </si>
  <si>
    <t>AZHARI</t>
  </si>
  <si>
    <t>ABDELHAMID</t>
  </si>
  <si>
    <t>NUNEZ</t>
  </si>
  <si>
    <t>LUCIEN BERNARD</t>
  </si>
  <si>
    <t>LALOUN</t>
  </si>
  <si>
    <t>MANAL</t>
  </si>
  <si>
    <t>OLA ENERGIE AGDAL</t>
  </si>
  <si>
    <t>MOUSTAPHA MATHURIN</t>
  </si>
  <si>
    <t>STATION CHIGA</t>
  </si>
  <si>
    <t>07 13 93 96 86</t>
  </si>
  <si>
    <t>06 60 51 90 17</t>
  </si>
  <si>
    <t>06 44 52 74 98</t>
  </si>
  <si>
    <t>06 45 99 20 01</t>
  </si>
  <si>
    <t>06 88 58 36 67</t>
  </si>
  <si>
    <t>HRILI</t>
  </si>
  <si>
    <t>BADREDDINE</t>
  </si>
  <si>
    <t>06 20 95 19 63</t>
  </si>
  <si>
    <t>HRILI BADREDDINE</t>
  </si>
  <si>
    <t>BENMOUSSA EL MEHDI YASSIN</t>
  </si>
  <si>
    <t>CISSE SOUADOU</t>
  </si>
  <si>
    <t>AZHARI ABDELHAMID</t>
  </si>
  <si>
    <t>NUNEZ LUCIEN BERNARD</t>
  </si>
  <si>
    <t>LALOUN MANAL</t>
  </si>
  <si>
    <t>DIALLO MOUSTAPHA MATHURIN</t>
  </si>
  <si>
    <t>Semaine</t>
  </si>
  <si>
    <t>FACTO</t>
  </si>
  <si>
    <t>INTAJ</t>
  </si>
  <si>
    <t>INTAJ IMANE</t>
  </si>
  <si>
    <t>06 59 29 17 27</t>
  </si>
  <si>
    <t>BANQUE POPULAIRE MOULAY RACHID</t>
  </si>
  <si>
    <t>FATIMA</t>
  </si>
  <si>
    <t>SY FATIMA</t>
  </si>
  <si>
    <t>07 70 72 74 24</t>
  </si>
  <si>
    <t>CAFE KABBOUR LAAYAYDA</t>
  </si>
  <si>
    <t>07 25 14 63 01</t>
  </si>
  <si>
    <t>FATOU KINE</t>
  </si>
  <si>
    <t>CHAMKHA</t>
  </si>
  <si>
    <t>AMEZIANE</t>
  </si>
  <si>
    <t>AIT ELMAHJOUB</t>
  </si>
  <si>
    <t>TAOUFIQ</t>
  </si>
  <si>
    <t>AGUILOU</t>
  </si>
  <si>
    <t>ZAYER</t>
  </si>
  <si>
    <t>AAZAROU</t>
  </si>
  <si>
    <t>BOUTAYNA</t>
  </si>
  <si>
    <t>EL OUIKSANI</t>
  </si>
  <si>
    <t>GROUPE SCOLAIRE LA CHANDELE</t>
  </si>
  <si>
    <t>BELMEJDOUB</t>
  </si>
  <si>
    <t>ZAIMI</t>
  </si>
  <si>
    <t>AKWASS KENITRA</t>
  </si>
  <si>
    <t>07 71 89 73 94</t>
  </si>
  <si>
    <t>06 90 17 03 88</t>
  </si>
  <si>
    <t>06 11 32 59 59</t>
  </si>
  <si>
    <t>06 64 84 70 48</t>
  </si>
  <si>
    <t>06 95 08 70 23</t>
  </si>
  <si>
    <t>06 73 64 05 21</t>
  </si>
  <si>
    <t>06 66 46 94 05</t>
  </si>
  <si>
    <t>06 26 46 88 25</t>
  </si>
  <si>
    <t>CISSE SALIOU</t>
  </si>
  <si>
    <t>07 22 37 18 31</t>
  </si>
  <si>
    <t>OUCHENE</t>
  </si>
  <si>
    <t>OUCHENE ZAKARIA</t>
  </si>
  <si>
    <t>06 69 66 23 26</t>
  </si>
  <si>
    <t>GUESSAR</t>
  </si>
  <si>
    <t>ZAHRA</t>
  </si>
  <si>
    <t>GUESSAR ZAHRA</t>
  </si>
  <si>
    <t>06 52 17 78 81</t>
  </si>
  <si>
    <t>HAMMADI</t>
  </si>
  <si>
    <t>HAMMADI AYA</t>
  </si>
  <si>
    <t>06 34 91 94 34</t>
  </si>
  <si>
    <t>LA GARE TABRIQUET</t>
  </si>
  <si>
    <t>CAFE HSSINA KENITRA</t>
  </si>
  <si>
    <t>MOSQUEE ENNOUR</t>
  </si>
  <si>
    <t>CAFE DIWANE SALA AL JADIDA</t>
  </si>
  <si>
    <t>Café al Andalous</t>
  </si>
  <si>
    <t>Complexe sportif bir rami sud</t>
  </si>
  <si>
    <t>SAMIA</t>
  </si>
  <si>
    <t xml:space="preserve">CAFE BAHRAOUI AVENUE HASSAN 2 </t>
  </si>
  <si>
    <t>CHAMKHA NOUHAILA</t>
  </si>
  <si>
    <t>AMEZIANE ZAKARIA</t>
  </si>
  <si>
    <t>AIT ELMAHJOUB TAOUFIQ</t>
  </si>
  <si>
    <t>AGUILOU MOHAMED</t>
  </si>
  <si>
    <t>ZAYER SALMA</t>
  </si>
  <si>
    <t>AAZAROU BOUTAYNA</t>
  </si>
  <si>
    <t>EL OUIKSANI SAMIA</t>
  </si>
  <si>
    <t>BELMEJDOUB FATIMA ZAHRA</t>
  </si>
  <si>
    <t>ZAIMI NADA</t>
  </si>
  <si>
    <t>01429</t>
  </si>
  <si>
    <t>ZERZOURI</t>
  </si>
  <si>
    <t>LAMIAE</t>
  </si>
  <si>
    <t>06 70 28 44 84</t>
  </si>
  <si>
    <t>ALAMI-AROUSSI</t>
  </si>
  <si>
    <t>07 11 80 03 62</t>
  </si>
  <si>
    <t>BAB CHAAFA SALE</t>
  </si>
  <si>
    <t>EL HASROUF</t>
  </si>
  <si>
    <t>06 58 93 57 07</t>
  </si>
  <si>
    <t>ZIRARI</t>
  </si>
  <si>
    <t>06 22 71 00 98</t>
  </si>
  <si>
    <t>ES-SAHLI</t>
  </si>
  <si>
    <t>07 71 82 76 69</t>
  </si>
  <si>
    <t>TEMARA CENTRE A COTE DE LA BANQUE POPULAIRE</t>
  </si>
  <si>
    <t>BIM LAAYAYDA</t>
  </si>
  <si>
    <t>HALLE AUX GRAINS (RAHBA)</t>
  </si>
  <si>
    <t>SIDIBE</t>
  </si>
  <si>
    <t>MOUSKEBA DALAFINA</t>
  </si>
  <si>
    <t>07 75 52 60 15</t>
  </si>
  <si>
    <t>BOULHROUD</t>
  </si>
  <si>
    <t>06 75 66 36 10</t>
  </si>
  <si>
    <t>BOURABAA</t>
  </si>
  <si>
    <t>HASSAN</t>
  </si>
  <si>
    <t>06 35 97 93 95</t>
  </si>
  <si>
    <t>AV ABDELKRIM EL KHATTABI FEU ROUGE</t>
  </si>
  <si>
    <t>ZERZOURI LAMIAE</t>
  </si>
  <si>
    <t>ALAMI-AROUSSI AHMED</t>
  </si>
  <si>
    <t>EL HASROUF YOUSSEF</t>
  </si>
  <si>
    <t>ZIRARI CHAIMAA</t>
  </si>
  <si>
    <t>ES-SAHLI MARYAM</t>
  </si>
  <si>
    <t>SIDIBE MOUSKEBA DALAFINA</t>
  </si>
  <si>
    <t>BOULHROUD SALMA</t>
  </si>
  <si>
    <t>BOURABAA HASSAN</t>
  </si>
  <si>
    <t>Café VALLEY</t>
  </si>
  <si>
    <t xml:space="preserve">CAFE DION </t>
  </si>
  <si>
    <t>15H</t>
  </si>
  <si>
    <t>REGIE TABAC SALE</t>
  </si>
  <si>
    <t>LAALAOUI</t>
  </si>
  <si>
    <t>CAFE DIWANE</t>
  </si>
  <si>
    <t>COMISSARIAT LAAYAYDA</t>
  </si>
  <si>
    <t>ELANMATI</t>
  </si>
  <si>
    <t>BOCOUM</t>
  </si>
  <si>
    <t>DIAWARIAH</t>
  </si>
  <si>
    <t>kwass kenitra</t>
  </si>
  <si>
    <t>HMIDI</t>
  </si>
  <si>
    <t>SECK</t>
  </si>
  <si>
    <t>DIARRA</t>
  </si>
  <si>
    <t>AINELKITANE</t>
  </si>
  <si>
    <t>ELOUAHHABY</t>
  </si>
  <si>
    <t>DOUAAE</t>
  </si>
  <si>
    <t>BENSAR</t>
  </si>
  <si>
    <t>ANAS</t>
  </si>
  <si>
    <t>STATION BUS LA BASE HAY ESSALAM</t>
  </si>
  <si>
    <t xml:space="preserve">LAM </t>
  </si>
  <si>
    <t>THIERNO MOUNTAGA</t>
  </si>
  <si>
    <t>06 05 95 43 13</t>
  </si>
  <si>
    <t>06 48 51 70 77</t>
  </si>
  <si>
    <t>06 21 52 59 25</t>
  </si>
  <si>
    <t>07 83 61 38 72</t>
  </si>
  <si>
    <t>07 79 40 60 55</t>
  </si>
  <si>
    <t>06 14 41 53 30</t>
  </si>
  <si>
    <t>07 67 46 20 03</t>
  </si>
  <si>
    <t>06 19 63 47 77</t>
  </si>
  <si>
    <t xml:space="preserve">06 31 29 70 45 </t>
  </si>
  <si>
    <t>07 76 81 45 38</t>
  </si>
  <si>
    <t>BAHOU</t>
  </si>
  <si>
    <t>ASMAA</t>
  </si>
  <si>
    <t>MAMADOU YACINE</t>
  </si>
  <si>
    <t>07 07 11 61 77</t>
  </si>
  <si>
    <t>07 26 87 25 59</t>
  </si>
  <si>
    <t>06 76 08 00 63</t>
  </si>
  <si>
    <t>PREFECTURE DE SALE</t>
  </si>
  <si>
    <t xml:space="preserve">CAFE KABBOUR LAYAYDA </t>
  </si>
  <si>
    <t>LAALAOUI SALMA</t>
  </si>
  <si>
    <t>ELANMATI LAMIAE</t>
  </si>
  <si>
    <t>CISSE OUMAR</t>
  </si>
  <si>
    <t>BOCOUM DIAWARIAH</t>
  </si>
  <si>
    <t>HMIDI KHADIJA</t>
  </si>
  <si>
    <t>SECK DIARRA</t>
  </si>
  <si>
    <t>AINELKITANE ZINEB</t>
  </si>
  <si>
    <t>ELOUAHHABY DOUAAE</t>
  </si>
  <si>
    <t>BENSAR ANAS</t>
  </si>
  <si>
    <t>LAM  THIERNO MOUNTAGA</t>
  </si>
  <si>
    <t>BAHOU ASMAA</t>
  </si>
  <si>
    <t>NDAW MAMADOU YACINE</t>
  </si>
  <si>
    <t>FAYE ROKHAYA</t>
  </si>
  <si>
    <t>KHALI IHSSANE-EDDINE</t>
  </si>
  <si>
    <t>06 62 86 18 29</t>
  </si>
  <si>
    <t>CENTRE DE FORMATION DANS LES METIERS DE L'AUTOMOBILES BIR RAMI EST KENITRA</t>
  </si>
  <si>
    <t>ATTAR SOUFIANE</t>
  </si>
  <si>
    <t>06 63 39 76 97</t>
  </si>
  <si>
    <t>MARJANE HAY KARIMA</t>
  </si>
  <si>
    <t>KHALI</t>
  </si>
  <si>
    <t>IHSSANE-EDDINE</t>
  </si>
  <si>
    <t>ATTAR</t>
  </si>
  <si>
    <t>STATION TRAM TABRIQUET </t>
  </si>
  <si>
    <t>Marjane Hay Karima  , Salé</t>
  </si>
  <si>
    <t>COFIDIS Espagne</t>
  </si>
  <si>
    <t>KHAN</t>
  </si>
  <si>
    <t>NIZAMUDDIN</t>
  </si>
  <si>
    <t>06 16 50 25 60</t>
  </si>
  <si>
    <t>TAIK</t>
  </si>
  <si>
    <t>HAMDANE</t>
  </si>
  <si>
    <t>06 59 95 43 09</t>
  </si>
  <si>
    <t>MARJANE HAY KARIMA SALE</t>
  </si>
  <si>
    <t>ZTAIT</t>
  </si>
  <si>
    <t>NAJLAE</t>
  </si>
  <si>
    <t xml:space="preserve">06 61 94 14 20 </t>
  </si>
  <si>
    <t>GAYER</t>
  </si>
  <si>
    <t>RESIDENCE SAADA</t>
  </si>
  <si>
    <t>AGNABER</t>
  </si>
  <si>
    <t>HANAE</t>
  </si>
  <si>
    <t>06 08 48 94 02</t>
  </si>
  <si>
    <t>BOULENGERIE OUHOUD</t>
  </si>
  <si>
    <t>AGNABER HANAE</t>
  </si>
  <si>
    <t>06 22 79 25 76</t>
  </si>
  <si>
    <t xml:space="preserve">CREATIS </t>
  </si>
  <si>
    <t>BOUQATA</t>
  </si>
  <si>
    <t xml:space="preserve">ZONE 5 </t>
  </si>
  <si>
    <t>YOUNOUSSI</t>
  </si>
  <si>
    <t>houda</t>
  </si>
  <si>
    <t>06 32 40 13 88</t>
  </si>
  <si>
    <t xml:space="preserve">ZONE 3 </t>
  </si>
  <si>
    <t>YOUNOUSSI Houda</t>
  </si>
  <si>
    <t>BOUQATA HIBA</t>
  </si>
  <si>
    <t>ZOUAKAT</t>
  </si>
  <si>
    <t>ABDEL ILLAH</t>
  </si>
  <si>
    <t>06 48 90 86 96</t>
  </si>
  <si>
    <t>EL BASRI</t>
  </si>
  <si>
    <t>NAJIB</t>
  </si>
  <si>
    <t>EL BASRI NAJIB</t>
  </si>
  <si>
    <t>06 16 53 51 89</t>
  </si>
  <si>
    <t>06 25 60 33 23</t>
  </si>
  <si>
    <t xml:space="preserve">MERZOUG </t>
  </si>
  <si>
    <t xml:space="preserve">NASRALLAH </t>
  </si>
  <si>
    <t xml:space="preserve">MERZOUG NASRALLAH </t>
  </si>
  <si>
    <t>NEMMAOUI</t>
  </si>
  <si>
    <t>MOUNIRA</t>
  </si>
  <si>
    <t>NEMMAOUI MOUNIRA</t>
  </si>
  <si>
    <t>07 06 39 86 62</t>
  </si>
  <si>
    <t>MAISONS DES JEUNES TABRIQUET</t>
  </si>
  <si>
    <t>BOUSSLAM</t>
  </si>
  <si>
    <t>BOUSSLAM SOUKAINA</t>
  </si>
  <si>
    <t>07 07 39 90 91</t>
  </si>
  <si>
    <t xml:space="preserve">PISCINE MUNICIPALE YOUSSOUFIA </t>
  </si>
  <si>
    <t>LAMKHIAR</t>
  </si>
  <si>
    <t>06 43 30 12 21</t>
  </si>
  <si>
    <t>EL MORABIT</t>
  </si>
  <si>
    <t>JAMAL DINNE</t>
  </si>
  <si>
    <t>06 36 84 91 92</t>
  </si>
  <si>
    <t>EN FACE SNACK EL OUAZZANI AGDAL</t>
  </si>
  <si>
    <t>LAMKHIAR NABIL</t>
  </si>
  <si>
    <t>EL MORABIT JAMAL DINNE</t>
  </si>
  <si>
    <t>CREATIS</t>
  </si>
  <si>
    <t>SEMOUSSI</t>
  </si>
  <si>
    <t>06 39 09 32 72</t>
  </si>
  <si>
    <t>EL HAMDI</t>
  </si>
  <si>
    <t>MONCEF</t>
  </si>
  <si>
    <t>06 75 09 86 16</t>
  </si>
  <si>
    <t>AVENUE ABDELKRIM LKHETTABI FEU ROUGE</t>
  </si>
  <si>
    <t>Mehdia Mall</t>
  </si>
  <si>
    <t>OFF</t>
  </si>
  <si>
    <t xml:space="preserve">Mosquée ABOU HOURAIRA </t>
  </si>
  <si>
    <t xml:space="preserve">LYCEE ABDERRAHMANE NACER </t>
  </si>
  <si>
    <t>BANQUE POPULAIRE BIR RAMI</t>
  </si>
  <si>
    <t>KHAN NIZAMUDDIN</t>
  </si>
  <si>
    <t>TAIK HAMDANE</t>
  </si>
  <si>
    <t>ZTAIT NAJLAE</t>
  </si>
  <si>
    <t>GAYER YASSER</t>
  </si>
  <si>
    <t>SEMOUSSI SALMA</t>
  </si>
  <si>
    <t>EL HAMDI MONCEF</t>
  </si>
  <si>
    <t>ZOUAKAT ABDEL ILLAH</t>
  </si>
  <si>
    <t xml:space="preserve">MOSQUEE ABOU HOURAIRA </t>
  </si>
  <si>
    <t xml:space="preserve">EL MACHICHI </t>
  </si>
  <si>
    <t xml:space="preserve">Administration </t>
  </si>
  <si>
    <t>EL MACHICHI SOUKAINA</t>
  </si>
  <si>
    <t xml:space="preserve">07 67 58 52 11 </t>
  </si>
  <si>
    <t>06 74 22 40 80</t>
  </si>
  <si>
    <t xml:space="preserve">MAROC TELECOM BETTANA </t>
  </si>
  <si>
    <t>GOUIRAH</t>
  </si>
  <si>
    <t>06 72 18 42 39</t>
  </si>
  <si>
    <t>GOUIRAH MOHAMED</t>
  </si>
  <si>
    <t>PHARMACIE AL KHAIM</t>
  </si>
  <si>
    <t>IBRAHIMI KAOUTAR</t>
  </si>
  <si>
    <t>IBRAHIMI</t>
  </si>
  <si>
    <t>06 96 37 63 03</t>
  </si>
  <si>
    <t>LAHRACH</t>
  </si>
  <si>
    <t>NAWFAL</t>
  </si>
  <si>
    <t>LHRACH NAWFAL</t>
  </si>
  <si>
    <t>06 17 06 77 01</t>
  </si>
  <si>
    <t>PHARMACIE HAY AL FATH</t>
  </si>
  <si>
    <t>ABRINI</t>
  </si>
  <si>
    <t>ABDERRAHMANE</t>
  </si>
  <si>
    <t>ABRINI ABDERRAHMANE</t>
  </si>
  <si>
    <t>07 15 91 80 65</t>
  </si>
  <si>
    <t>06 60 10 95 68</t>
  </si>
  <si>
    <t>TAOUIL YOUSSEF</t>
  </si>
  <si>
    <t>07 22 31 64 32</t>
  </si>
  <si>
    <t>NHAILI</t>
  </si>
  <si>
    <t>MOHAMMED REDA</t>
  </si>
  <si>
    <t>NHAILI MOHAMMED REDA</t>
  </si>
  <si>
    <t>06 84 96 68 26</t>
  </si>
  <si>
    <t>BANNOUR</t>
  </si>
  <si>
    <t>BANNOUR MEHDI</t>
  </si>
  <si>
    <t>06 65 48 38 28</t>
  </si>
  <si>
    <t>LHANOUICHI</t>
  </si>
  <si>
    <t>LHANOUICHI YACINE</t>
  </si>
  <si>
    <t>06 63 71 22 48</t>
  </si>
  <si>
    <t>FILALI</t>
  </si>
  <si>
    <t>YASSINE</t>
  </si>
  <si>
    <t>FILALI YASSINE</t>
  </si>
  <si>
    <t>06 73 91 70 50</t>
  </si>
  <si>
    <t>RIM</t>
  </si>
  <si>
    <t>TF</t>
  </si>
  <si>
    <t>EZZAMET</t>
  </si>
  <si>
    <t>MARWA</t>
  </si>
  <si>
    <t>06 05 23 48 75</t>
  </si>
  <si>
    <t>STATION TOTAL SALA AL JADIDA</t>
  </si>
  <si>
    <t>07 19 49 64 87</t>
  </si>
  <si>
    <t>ANISSE</t>
  </si>
  <si>
    <t>07 08 04 21 54</t>
  </si>
  <si>
    <t>HAJIM</t>
  </si>
  <si>
    <t>06 54 30 18 01</t>
  </si>
  <si>
    <t>AVENUE ABDELAKRIM EL KHATTABI FEU ROUGE TEMARA</t>
  </si>
  <si>
    <t>EL ALAMI</t>
  </si>
  <si>
    <t>AYMAN</t>
  </si>
  <si>
    <t>06 45 81 37 74</t>
  </si>
  <si>
    <t>BOUCHARA</t>
  </si>
  <si>
    <t>06 79 40 75 50</t>
  </si>
  <si>
    <t>MOSQUE NAJAH</t>
  </si>
  <si>
    <t>LYACOUBI</t>
  </si>
  <si>
    <t>07 17 47 18 49</t>
  </si>
  <si>
    <t>KINANA</t>
  </si>
  <si>
    <t>WIDAD</t>
  </si>
  <si>
    <t>07 08 32 17 03</t>
  </si>
  <si>
    <t>CHOUKRI</t>
  </si>
  <si>
    <t>06 88 05 77 16</t>
  </si>
  <si>
    <t>AUTO ECOLE OUDBIB</t>
  </si>
  <si>
    <t xml:space="preserve">CHAFI </t>
  </si>
  <si>
    <t xml:space="preserve">SARA </t>
  </si>
  <si>
    <t>06 68 69 97 60</t>
  </si>
  <si>
    <t>BARTOUT</t>
  </si>
  <si>
    <t>07 72 34 26 54</t>
  </si>
  <si>
    <t>ATIR</t>
  </si>
  <si>
    <t>06 45 97 78 11</t>
  </si>
  <si>
    <t>PHARMACIE HAY FATH</t>
  </si>
  <si>
    <t>EL-ANAZI</t>
  </si>
  <si>
    <t>07 00 41 02 60</t>
  </si>
  <si>
    <t>YOUSFI</t>
  </si>
  <si>
    <t>HIYAM</t>
  </si>
  <si>
    <t>06 49 48 37 04</t>
  </si>
  <si>
    <t>Pharmacie TAHIRI</t>
  </si>
  <si>
    <t>BARNASSO</t>
  </si>
  <si>
    <t>HAMZA</t>
  </si>
  <si>
    <t>06 58 30 80 57</t>
  </si>
  <si>
    <t>MOULINE</t>
  </si>
  <si>
    <t>07 71 46 70 11</t>
  </si>
  <si>
    <t>AJMILA</t>
  </si>
  <si>
    <t>ERBATI</t>
  </si>
  <si>
    <t>06 33 91 33 13</t>
  </si>
  <si>
    <t>ECOLE CHAMS ALASSIL</t>
  </si>
  <si>
    <t>06 36 31 36 02</t>
  </si>
  <si>
    <t>BENMESSAOUD</t>
  </si>
  <si>
    <t>ISRAE</t>
  </si>
  <si>
    <t>06 89 80 71 26</t>
  </si>
  <si>
    <t>ZOHRI</t>
  </si>
  <si>
    <t>RANA</t>
  </si>
  <si>
    <t>06 61 59 07 69</t>
  </si>
  <si>
    <t>CHECK POSTAUX HASSAN</t>
  </si>
  <si>
    <t>Régie Tabac Salé</t>
  </si>
  <si>
    <t>ROND POINT BOUDIAF</t>
  </si>
  <si>
    <t>ENNOUR</t>
  </si>
  <si>
    <t>AYDA</t>
  </si>
  <si>
    <t>06 96 31 59 56</t>
  </si>
  <si>
    <t>ABILLAT</t>
  </si>
  <si>
    <t>ALAE</t>
  </si>
  <si>
    <t>06 40 45 46 19</t>
  </si>
  <si>
    <t xml:space="preserve">Centre de Formation dans les Métiers de l'Automobiles BIR RAMI EST </t>
  </si>
  <si>
    <t>IBTISSAM</t>
  </si>
  <si>
    <t>BENGHANNOU</t>
  </si>
  <si>
    <t>06 41 10 35 55</t>
  </si>
  <si>
    <t>06 97 49 86 35</t>
  </si>
  <si>
    <t>06 95 96 41 46</t>
  </si>
  <si>
    <t>Résidence al khair Sala al Jadida</t>
  </si>
  <si>
    <t>S28</t>
  </si>
  <si>
    <t xml:space="preserve">CAFE ANGELINA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</si>
</sst>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"/>
    <numFmt numFmtId="165" formatCode="h:mm;@"/>
    <numFmt numFmtId="166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3.5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6" fillId="0" borderId="0" xfId="0" applyFont="1" applyAlignment="1">
      <alignment horizontal="left" vertical="center" indent="2"/>
    </xf>
    <xf numFmtId="0" fontId="10" fillId="6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vertical="center"/>
    </xf>
    <xf numFmtId="14" fontId="3" fillId="0" borderId="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20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164" fontId="3" fillId="0" borderId="4" xfId="0" applyNumberFormat="1" applyFont="1" applyFill="1" applyBorder="1" applyAlignment="1">
      <alignment horizontal="left" vertical="center"/>
    </xf>
    <xf numFmtId="0" fontId="9" fillId="0" borderId="4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2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20" fontId="3" fillId="0" borderId="1" xfId="0" applyNumberFormat="1" applyFont="1" applyBorder="1" applyAlignment="1">
      <alignment horizontal="center"/>
    </xf>
    <xf numFmtId="0" fontId="4" fillId="5" borderId="4" xfId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Normal" xfId="0" builtinId="0"/>
    <cellStyle name="Satisfaisant" xfId="1" builtinId="26"/>
  </cellStyles>
  <dxfs count="5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6"/>
  <sheetViews>
    <sheetView showGridLines="0" tabSelected="1" zoomScale="77" zoomScaleNormal="77" workbookViewId="0">
      <pane xSplit="5" topLeftCell="F1" activePane="topRight" state="frozen"/>
      <selection pane="topRight" activeCell="F16" sqref="F16"/>
    </sheetView>
  </sheetViews>
  <sheetFormatPr baseColWidth="10" defaultColWidth="25.33203125" defaultRowHeight="14.4" x14ac:dyDescent="0.3"/>
  <cols>
    <col min="1" max="1" width="7" style="10" customWidth="1"/>
    <col min="2" max="2" width="16.5546875" style="10" customWidth="1"/>
    <col min="3" max="3" width="19.33203125" style="10" customWidth="1"/>
    <col min="4" max="4" width="28.33203125" style="10" customWidth="1"/>
    <col min="5" max="5" width="35.6640625" style="10" customWidth="1"/>
    <col min="6" max="6" width="24.44140625" style="10" customWidth="1"/>
    <col min="7" max="8" width="25.33203125" style="10" customWidth="1"/>
    <col min="9" max="9" width="17.5546875" style="10" customWidth="1"/>
    <col min="10" max="10" width="89.33203125" style="10" customWidth="1"/>
    <col min="11" max="11" width="11.6640625" style="10" customWidth="1"/>
    <col min="12" max="12" width="15" style="10" customWidth="1"/>
    <col min="13" max="13" width="15.33203125" style="10" customWidth="1"/>
    <col min="14" max="14" width="16.33203125" style="10" customWidth="1"/>
    <col min="15" max="15" width="15.5546875" style="10" customWidth="1"/>
    <col min="16" max="16" width="17.5546875" style="10" customWidth="1"/>
    <col min="17" max="17" width="18.5546875" style="10" customWidth="1"/>
    <col min="18" max="18" width="19" style="10" customWidth="1"/>
    <col min="19" max="19" width="18" style="10" bestFit="1" customWidth="1"/>
    <col min="20" max="20" width="18.6640625" style="10" bestFit="1" customWidth="1"/>
    <col min="21" max="21" width="18.44140625" style="10" customWidth="1"/>
    <col min="22" max="22" width="16.6640625" style="10" customWidth="1"/>
    <col min="23" max="23" width="14.6640625" style="10" customWidth="1"/>
    <col min="24" max="24" width="18.33203125" style="10" bestFit="1" customWidth="1"/>
    <col min="25" max="25" width="17.6640625" style="10" bestFit="1" customWidth="1"/>
    <col min="26" max="16384" width="25.33203125" style="10"/>
  </cols>
  <sheetData>
    <row r="1" spans="1:25" ht="31.2" x14ac:dyDescent="0.3">
      <c r="A1" s="7" t="s">
        <v>940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</row>
    <row r="2" spans="1:25" s="18" customFormat="1" x14ac:dyDescent="0.3">
      <c r="A2" s="11" t="s">
        <v>1286</v>
      </c>
      <c r="B2" s="12">
        <v>1278</v>
      </c>
      <c r="C2" s="13" t="s">
        <v>769</v>
      </c>
      <c r="D2" s="13" t="s">
        <v>240</v>
      </c>
      <c r="E2" s="8" t="s">
        <v>770</v>
      </c>
      <c r="F2" s="14">
        <v>45895</v>
      </c>
      <c r="G2" s="8" t="s">
        <v>771</v>
      </c>
      <c r="H2" s="8" t="s">
        <v>772</v>
      </c>
      <c r="I2" s="15" t="s">
        <v>7</v>
      </c>
      <c r="J2" s="8" t="s">
        <v>773</v>
      </c>
      <c r="K2" s="16" t="s">
        <v>63</v>
      </c>
      <c r="L2" s="50" t="s">
        <v>2</v>
      </c>
      <c r="M2" s="50" t="s">
        <v>137</v>
      </c>
      <c r="N2" s="50" t="s">
        <v>2</v>
      </c>
      <c r="O2" s="50" t="s">
        <v>137</v>
      </c>
      <c r="P2" s="50" t="s">
        <v>2</v>
      </c>
      <c r="Q2" s="50" t="s">
        <v>137</v>
      </c>
      <c r="R2" s="50" t="s">
        <v>2</v>
      </c>
      <c r="S2" s="50" t="s">
        <v>137</v>
      </c>
      <c r="T2" s="50" t="s">
        <v>2</v>
      </c>
      <c r="U2" s="50" t="s">
        <v>138</v>
      </c>
      <c r="V2" s="50" t="s">
        <v>1163</v>
      </c>
      <c r="W2" s="50" t="s">
        <v>1163</v>
      </c>
      <c r="X2" s="17" t="s">
        <v>1163</v>
      </c>
      <c r="Y2" s="17" t="s">
        <v>1163</v>
      </c>
    </row>
    <row r="3" spans="1:25" s="18" customFormat="1" x14ac:dyDescent="0.3">
      <c r="A3" s="11" t="s">
        <v>1286</v>
      </c>
      <c r="B3" s="12">
        <v>1265</v>
      </c>
      <c r="C3" s="13" t="s">
        <v>774</v>
      </c>
      <c r="D3" s="13" t="s">
        <v>401</v>
      </c>
      <c r="E3" s="8" t="s">
        <v>775</v>
      </c>
      <c r="F3" s="14">
        <v>45895</v>
      </c>
      <c r="G3" s="8" t="s">
        <v>771</v>
      </c>
      <c r="H3" s="8" t="s">
        <v>776</v>
      </c>
      <c r="I3" s="8" t="s">
        <v>51</v>
      </c>
      <c r="J3" s="8" t="s">
        <v>484</v>
      </c>
      <c r="K3" s="16" t="s">
        <v>57</v>
      </c>
      <c r="L3" s="50" t="s">
        <v>2</v>
      </c>
      <c r="M3" s="50" t="s">
        <v>137</v>
      </c>
      <c r="N3" s="50" t="s">
        <v>2</v>
      </c>
      <c r="O3" s="50" t="s">
        <v>137</v>
      </c>
      <c r="P3" s="50" t="s">
        <v>2</v>
      </c>
      <c r="Q3" s="50" t="s">
        <v>137</v>
      </c>
      <c r="R3" s="50" t="s">
        <v>2</v>
      </c>
      <c r="S3" s="50" t="s">
        <v>137</v>
      </c>
      <c r="T3" s="50" t="s">
        <v>2</v>
      </c>
      <c r="U3" s="50" t="s">
        <v>138</v>
      </c>
      <c r="V3" s="50" t="s">
        <v>1163</v>
      </c>
      <c r="W3" s="50" t="s">
        <v>1163</v>
      </c>
      <c r="X3" s="17" t="s">
        <v>1163</v>
      </c>
      <c r="Y3" s="17" t="s">
        <v>1163</v>
      </c>
    </row>
    <row r="4" spans="1:25" s="18" customFormat="1" ht="15.6" x14ac:dyDescent="0.3">
      <c r="A4" s="11" t="s">
        <v>1286</v>
      </c>
      <c r="B4" s="12">
        <v>1317</v>
      </c>
      <c r="C4" s="13" t="s">
        <v>777</v>
      </c>
      <c r="D4" s="13" t="s">
        <v>346</v>
      </c>
      <c r="E4" s="8" t="s">
        <v>778</v>
      </c>
      <c r="F4" s="14">
        <v>45903</v>
      </c>
      <c r="G4" s="8" t="s">
        <v>771</v>
      </c>
      <c r="H4" s="8" t="s">
        <v>779</v>
      </c>
      <c r="I4" s="8" t="s">
        <v>51</v>
      </c>
      <c r="J4" s="19" t="s">
        <v>411</v>
      </c>
      <c r="K4" s="16" t="s">
        <v>52</v>
      </c>
      <c r="L4" s="50" t="s">
        <v>2</v>
      </c>
      <c r="M4" s="50" t="s">
        <v>137</v>
      </c>
      <c r="N4" s="50" t="s">
        <v>2</v>
      </c>
      <c r="O4" s="50" t="s">
        <v>137</v>
      </c>
      <c r="P4" s="50" t="s">
        <v>2</v>
      </c>
      <c r="Q4" s="50" t="s">
        <v>137</v>
      </c>
      <c r="R4" s="50" t="s">
        <v>2</v>
      </c>
      <c r="S4" s="50" t="s">
        <v>137</v>
      </c>
      <c r="T4" s="50" t="s">
        <v>2</v>
      </c>
      <c r="U4" s="50" t="s">
        <v>138</v>
      </c>
      <c r="V4" s="50" t="s">
        <v>1163</v>
      </c>
      <c r="W4" s="50" t="s">
        <v>1163</v>
      </c>
      <c r="X4" s="17" t="s">
        <v>1163</v>
      </c>
      <c r="Y4" s="17" t="s">
        <v>1163</v>
      </c>
    </row>
    <row r="5" spans="1:25" s="18" customFormat="1" x14ac:dyDescent="0.3">
      <c r="A5" s="11" t="s">
        <v>1286</v>
      </c>
      <c r="B5" s="12">
        <v>355</v>
      </c>
      <c r="C5" s="13" t="s">
        <v>332</v>
      </c>
      <c r="D5" s="13" t="s">
        <v>176</v>
      </c>
      <c r="E5" s="8" t="s">
        <v>333</v>
      </c>
      <c r="F5" s="14">
        <v>44228</v>
      </c>
      <c r="G5" s="8" t="s">
        <v>771</v>
      </c>
      <c r="H5" s="8" t="s">
        <v>334</v>
      </c>
      <c r="I5" s="8" t="s">
        <v>5</v>
      </c>
      <c r="J5" s="8" t="s">
        <v>296</v>
      </c>
      <c r="K5" s="16" t="s">
        <v>39</v>
      </c>
      <c r="L5" s="50" t="s">
        <v>2</v>
      </c>
      <c r="M5" s="50" t="s">
        <v>138</v>
      </c>
      <c r="N5" s="50" t="s">
        <v>2</v>
      </c>
      <c r="O5" s="50" t="s">
        <v>138</v>
      </c>
      <c r="P5" s="50" t="s">
        <v>2</v>
      </c>
      <c r="Q5" s="50" t="s">
        <v>138</v>
      </c>
      <c r="R5" s="50" t="s">
        <v>2</v>
      </c>
      <c r="S5" s="50" t="s">
        <v>138</v>
      </c>
      <c r="T5" s="50" t="s">
        <v>2</v>
      </c>
      <c r="U5" s="50" t="s">
        <v>138</v>
      </c>
      <c r="V5" s="50" t="s">
        <v>1163</v>
      </c>
      <c r="W5" s="50" t="s">
        <v>1163</v>
      </c>
      <c r="X5" s="17" t="s">
        <v>1163</v>
      </c>
      <c r="Y5" s="17" t="s">
        <v>1163</v>
      </c>
    </row>
    <row r="6" spans="1:25" s="18" customFormat="1" x14ac:dyDescent="0.3">
      <c r="A6" s="11" t="s">
        <v>1286</v>
      </c>
      <c r="B6" s="12"/>
      <c r="C6" s="13" t="s">
        <v>1175</v>
      </c>
      <c r="D6" s="13" t="s">
        <v>213</v>
      </c>
      <c r="E6" s="8" t="s">
        <v>1177</v>
      </c>
      <c r="F6" s="14">
        <v>46174</v>
      </c>
      <c r="G6" s="8" t="s">
        <v>1176</v>
      </c>
      <c r="H6" s="8" t="s">
        <v>1178</v>
      </c>
      <c r="I6" s="8" t="s">
        <v>51</v>
      </c>
      <c r="J6" s="8" t="s">
        <v>1093</v>
      </c>
      <c r="K6" s="16" t="s">
        <v>142</v>
      </c>
      <c r="L6" s="50" t="s">
        <v>3</v>
      </c>
      <c r="M6" s="50" t="s">
        <v>137</v>
      </c>
      <c r="N6" s="50" t="s">
        <v>3</v>
      </c>
      <c r="O6" s="50" t="s">
        <v>137</v>
      </c>
      <c r="P6" s="50" t="s">
        <v>3</v>
      </c>
      <c r="Q6" s="50" t="s">
        <v>137</v>
      </c>
      <c r="R6" s="50" t="s">
        <v>3</v>
      </c>
      <c r="S6" s="50" t="s">
        <v>137</v>
      </c>
      <c r="T6" s="50" t="s">
        <v>3</v>
      </c>
      <c r="U6" s="50" t="s">
        <v>137</v>
      </c>
      <c r="V6" s="50" t="s">
        <v>1163</v>
      </c>
      <c r="W6" s="50" t="s">
        <v>1163</v>
      </c>
      <c r="X6" s="20" t="s">
        <v>1163</v>
      </c>
      <c r="Y6" s="20" t="s">
        <v>1163</v>
      </c>
    </row>
    <row r="7" spans="1:25" s="18" customFormat="1" x14ac:dyDescent="0.3">
      <c r="A7" s="11" t="s">
        <v>1286</v>
      </c>
      <c r="B7" s="12">
        <v>164</v>
      </c>
      <c r="C7" s="13" t="s">
        <v>270</v>
      </c>
      <c r="D7" s="13" t="s">
        <v>271</v>
      </c>
      <c r="E7" s="8" t="s">
        <v>272</v>
      </c>
      <c r="F7" s="14">
        <v>44891</v>
      </c>
      <c r="G7" s="8" t="s">
        <v>217</v>
      </c>
      <c r="H7" s="8" t="s">
        <v>273</v>
      </c>
      <c r="I7" s="8" t="s">
        <v>5</v>
      </c>
      <c r="J7" s="8" t="s">
        <v>76</v>
      </c>
      <c r="K7" s="16" t="s">
        <v>39</v>
      </c>
      <c r="L7" s="50" t="s">
        <v>2</v>
      </c>
      <c r="M7" s="51" t="s">
        <v>138</v>
      </c>
      <c r="N7" s="50" t="s">
        <v>2</v>
      </c>
      <c r="O7" s="51" t="s">
        <v>138</v>
      </c>
      <c r="P7" s="50" t="s">
        <v>2</v>
      </c>
      <c r="Q7" s="51" t="s">
        <v>138</v>
      </c>
      <c r="R7" s="50" t="s">
        <v>2</v>
      </c>
      <c r="S7" s="51" t="s">
        <v>138</v>
      </c>
      <c r="T7" s="50" t="s">
        <v>2</v>
      </c>
      <c r="U7" s="51" t="s">
        <v>138</v>
      </c>
      <c r="V7" s="50" t="s">
        <v>1163</v>
      </c>
      <c r="W7" s="51" t="s">
        <v>1163</v>
      </c>
      <c r="X7" s="17" t="s">
        <v>1163</v>
      </c>
      <c r="Y7" s="21" t="s">
        <v>1163</v>
      </c>
    </row>
    <row r="8" spans="1:25" s="18" customFormat="1" x14ac:dyDescent="0.3">
      <c r="A8" s="11" t="s">
        <v>1286</v>
      </c>
      <c r="B8" s="12">
        <v>777</v>
      </c>
      <c r="C8" s="13" t="s">
        <v>335</v>
      </c>
      <c r="D8" s="13" t="s">
        <v>60</v>
      </c>
      <c r="E8" s="8" t="s">
        <v>336</v>
      </c>
      <c r="F8" s="14">
        <v>44809</v>
      </c>
      <c r="G8" s="8" t="s">
        <v>217</v>
      </c>
      <c r="H8" s="8" t="s">
        <v>337</v>
      </c>
      <c r="I8" s="22" t="s">
        <v>51</v>
      </c>
      <c r="J8" s="8" t="s">
        <v>216</v>
      </c>
      <c r="K8" s="16" t="s">
        <v>52</v>
      </c>
      <c r="L8" s="50" t="s">
        <v>2</v>
      </c>
      <c r="M8" s="50" t="s">
        <v>137</v>
      </c>
      <c r="N8" s="50" t="s">
        <v>2</v>
      </c>
      <c r="O8" s="50" t="s">
        <v>137</v>
      </c>
      <c r="P8" s="50" t="s">
        <v>2</v>
      </c>
      <c r="Q8" s="50" t="s">
        <v>137</v>
      </c>
      <c r="R8" s="50" t="s">
        <v>2</v>
      </c>
      <c r="S8" s="50" t="s">
        <v>137</v>
      </c>
      <c r="T8" s="50" t="s">
        <v>2</v>
      </c>
      <c r="U8" s="50" t="s">
        <v>138</v>
      </c>
      <c r="V8" s="50" t="s">
        <v>1163</v>
      </c>
      <c r="W8" s="51" t="s">
        <v>1163</v>
      </c>
      <c r="X8" s="17" t="s">
        <v>1163</v>
      </c>
      <c r="Y8" s="21" t="s">
        <v>1163</v>
      </c>
    </row>
    <row r="9" spans="1:25" s="18" customFormat="1" x14ac:dyDescent="0.3">
      <c r="A9" s="11" t="s">
        <v>1286</v>
      </c>
      <c r="B9" s="12">
        <v>973</v>
      </c>
      <c r="C9" s="23" t="s">
        <v>212</v>
      </c>
      <c r="D9" s="23" t="s">
        <v>213</v>
      </c>
      <c r="E9" s="22" t="s">
        <v>214</v>
      </c>
      <c r="F9" s="24">
        <v>45294</v>
      </c>
      <c r="G9" s="22" t="s">
        <v>217</v>
      </c>
      <c r="H9" s="22" t="s">
        <v>215</v>
      </c>
      <c r="I9" s="8" t="s">
        <v>51</v>
      </c>
      <c r="J9" s="22" t="s">
        <v>216</v>
      </c>
      <c r="K9" s="11" t="s">
        <v>52</v>
      </c>
      <c r="L9" s="50" t="s">
        <v>2</v>
      </c>
      <c r="M9" s="50" t="s">
        <v>137</v>
      </c>
      <c r="N9" s="50" t="s">
        <v>2</v>
      </c>
      <c r="O9" s="50" t="s">
        <v>137</v>
      </c>
      <c r="P9" s="50" t="s">
        <v>2</v>
      </c>
      <c r="Q9" s="50" t="s">
        <v>137</v>
      </c>
      <c r="R9" s="50" t="s">
        <v>2</v>
      </c>
      <c r="S9" s="50" t="s">
        <v>137</v>
      </c>
      <c r="T9" s="50" t="s">
        <v>2</v>
      </c>
      <c r="U9" s="50" t="s">
        <v>138</v>
      </c>
      <c r="V9" s="50" t="s">
        <v>1163</v>
      </c>
      <c r="W9" s="51" t="s">
        <v>1163</v>
      </c>
      <c r="X9" s="17" t="s">
        <v>1163</v>
      </c>
      <c r="Y9" s="21" t="s">
        <v>1163</v>
      </c>
    </row>
    <row r="10" spans="1:25" s="18" customFormat="1" x14ac:dyDescent="0.3">
      <c r="A10" s="11" t="s">
        <v>1286</v>
      </c>
      <c r="B10" s="12">
        <v>1066</v>
      </c>
      <c r="C10" s="13" t="s">
        <v>455</v>
      </c>
      <c r="D10" s="13" t="s">
        <v>105</v>
      </c>
      <c r="E10" s="8" t="s">
        <v>456</v>
      </c>
      <c r="F10" s="14">
        <v>45680</v>
      </c>
      <c r="G10" s="8" t="s">
        <v>550</v>
      </c>
      <c r="H10" s="8" t="s">
        <v>457</v>
      </c>
      <c r="I10" s="8" t="s">
        <v>51</v>
      </c>
      <c r="J10" s="8" t="s">
        <v>471</v>
      </c>
      <c r="K10" s="16" t="s">
        <v>57</v>
      </c>
      <c r="L10" s="50" t="s">
        <v>2</v>
      </c>
      <c r="M10" s="50" t="s">
        <v>137</v>
      </c>
      <c r="N10" s="50" t="s">
        <v>2</v>
      </c>
      <c r="O10" s="50" t="s">
        <v>137</v>
      </c>
      <c r="P10" s="50" t="s">
        <v>2</v>
      </c>
      <c r="Q10" s="50" t="s">
        <v>137</v>
      </c>
      <c r="R10" s="50" t="s">
        <v>2</v>
      </c>
      <c r="S10" s="50" t="s">
        <v>137</v>
      </c>
      <c r="T10" s="50" t="s">
        <v>2</v>
      </c>
      <c r="U10" s="50" t="s">
        <v>138</v>
      </c>
      <c r="V10" s="50" t="s">
        <v>1163</v>
      </c>
      <c r="W10" s="51" t="s">
        <v>1163</v>
      </c>
      <c r="X10" s="17" t="s">
        <v>1163</v>
      </c>
      <c r="Y10" s="21" t="s">
        <v>1163</v>
      </c>
    </row>
    <row r="11" spans="1:25" s="18" customFormat="1" x14ac:dyDescent="0.3">
      <c r="A11" s="11" t="s">
        <v>1286</v>
      </c>
      <c r="B11" s="12">
        <v>1004</v>
      </c>
      <c r="C11" s="23" t="s">
        <v>369</v>
      </c>
      <c r="D11" s="23" t="s">
        <v>370</v>
      </c>
      <c r="E11" s="25" t="s">
        <v>371</v>
      </c>
      <c r="F11" s="26">
        <v>45565</v>
      </c>
      <c r="G11" s="25" t="s">
        <v>550</v>
      </c>
      <c r="H11" s="25" t="s">
        <v>372</v>
      </c>
      <c r="I11" s="15" t="s">
        <v>7</v>
      </c>
      <c r="J11" s="22" t="s">
        <v>858</v>
      </c>
      <c r="K11" s="27" t="s">
        <v>63</v>
      </c>
      <c r="L11" s="50" t="s">
        <v>2</v>
      </c>
      <c r="M11" s="50" t="s">
        <v>137</v>
      </c>
      <c r="N11" s="50" t="s">
        <v>2</v>
      </c>
      <c r="O11" s="50" t="s">
        <v>137</v>
      </c>
      <c r="P11" s="50" t="s">
        <v>2</v>
      </c>
      <c r="Q11" s="50" t="s">
        <v>137</v>
      </c>
      <c r="R11" s="50" t="s">
        <v>2</v>
      </c>
      <c r="S11" s="50" t="s">
        <v>137</v>
      </c>
      <c r="T11" s="50" t="s">
        <v>2</v>
      </c>
      <c r="U11" s="50" t="s">
        <v>138</v>
      </c>
      <c r="V11" s="50" t="s">
        <v>1163</v>
      </c>
      <c r="W11" s="51" t="s">
        <v>1163</v>
      </c>
      <c r="X11" s="17" t="s">
        <v>1163</v>
      </c>
      <c r="Y11" s="21" t="s">
        <v>1163</v>
      </c>
    </row>
    <row r="12" spans="1:25" s="18" customFormat="1" x14ac:dyDescent="0.3">
      <c r="A12" s="11" t="s">
        <v>1286</v>
      </c>
      <c r="B12" s="12">
        <v>948</v>
      </c>
      <c r="C12" s="13" t="s">
        <v>278</v>
      </c>
      <c r="D12" s="13" t="s">
        <v>279</v>
      </c>
      <c r="E12" s="8" t="s">
        <v>280</v>
      </c>
      <c r="F12" s="14">
        <v>45425</v>
      </c>
      <c r="G12" s="8" t="s">
        <v>550</v>
      </c>
      <c r="H12" s="8" t="s">
        <v>416</v>
      </c>
      <c r="I12" s="8" t="s">
        <v>5</v>
      </c>
      <c r="J12" s="8" t="s">
        <v>100</v>
      </c>
      <c r="K12" s="16" t="s">
        <v>39</v>
      </c>
      <c r="L12" s="50" t="s">
        <v>2</v>
      </c>
      <c r="M12" s="50" t="s">
        <v>137</v>
      </c>
      <c r="N12" s="50" t="s">
        <v>2</v>
      </c>
      <c r="O12" s="50" t="s">
        <v>137</v>
      </c>
      <c r="P12" s="50" t="s">
        <v>2</v>
      </c>
      <c r="Q12" s="50" t="s">
        <v>137</v>
      </c>
      <c r="R12" s="50" t="s">
        <v>2</v>
      </c>
      <c r="S12" s="50" t="s">
        <v>137</v>
      </c>
      <c r="T12" s="50" t="s">
        <v>2</v>
      </c>
      <c r="U12" s="50" t="s">
        <v>138</v>
      </c>
      <c r="V12" s="50" t="s">
        <v>1163</v>
      </c>
      <c r="W12" s="51" t="s">
        <v>1163</v>
      </c>
      <c r="X12" s="17" t="s">
        <v>1163</v>
      </c>
      <c r="Y12" s="21" t="s">
        <v>1163</v>
      </c>
    </row>
    <row r="13" spans="1:25" s="18" customFormat="1" x14ac:dyDescent="0.3">
      <c r="A13" s="11" t="s">
        <v>1286</v>
      </c>
      <c r="B13" s="12">
        <v>1011</v>
      </c>
      <c r="C13" s="23" t="s">
        <v>377</v>
      </c>
      <c r="D13" s="23" t="s">
        <v>105</v>
      </c>
      <c r="E13" s="22" t="s">
        <v>378</v>
      </c>
      <c r="F13" s="24">
        <v>45565</v>
      </c>
      <c r="G13" s="22" t="s">
        <v>550</v>
      </c>
      <c r="H13" s="22" t="s">
        <v>379</v>
      </c>
      <c r="I13" s="22" t="s">
        <v>5</v>
      </c>
      <c r="J13" s="22" t="s">
        <v>901</v>
      </c>
      <c r="K13" s="16" t="s">
        <v>39</v>
      </c>
      <c r="L13" s="50" t="s">
        <v>2</v>
      </c>
      <c r="M13" s="50" t="s">
        <v>137</v>
      </c>
      <c r="N13" s="50" t="s">
        <v>2</v>
      </c>
      <c r="O13" s="50" t="s">
        <v>137</v>
      </c>
      <c r="P13" s="50" t="s">
        <v>2</v>
      </c>
      <c r="Q13" s="50" t="s">
        <v>137</v>
      </c>
      <c r="R13" s="50" t="s">
        <v>2</v>
      </c>
      <c r="S13" s="50" t="s">
        <v>137</v>
      </c>
      <c r="T13" s="50" t="s">
        <v>2</v>
      </c>
      <c r="U13" s="50" t="s">
        <v>138</v>
      </c>
      <c r="V13" s="50" t="s">
        <v>1163</v>
      </c>
      <c r="W13" s="51" t="s">
        <v>1163</v>
      </c>
      <c r="X13" s="17" t="s">
        <v>1163</v>
      </c>
      <c r="Y13" s="21" t="s">
        <v>1163</v>
      </c>
    </row>
    <row r="14" spans="1:25" s="18" customFormat="1" x14ac:dyDescent="0.3">
      <c r="A14" s="11" t="s">
        <v>1286</v>
      </c>
      <c r="B14" s="12">
        <v>1068</v>
      </c>
      <c r="C14" s="13" t="s">
        <v>458</v>
      </c>
      <c r="D14" s="13" t="s">
        <v>248</v>
      </c>
      <c r="E14" s="8" t="s">
        <v>459</v>
      </c>
      <c r="F14" s="14">
        <v>45680</v>
      </c>
      <c r="G14" s="8" t="s">
        <v>550</v>
      </c>
      <c r="H14" s="8" t="s">
        <v>460</v>
      </c>
      <c r="I14" s="28" t="s">
        <v>7</v>
      </c>
      <c r="J14" s="8" t="s">
        <v>403</v>
      </c>
      <c r="K14" s="16" t="s">
        <v>63</v>
      </c>
      <c r="L14" s="50" t="s">
        <v>2</v>
      </c>
      <c r="M14" s="50" t="s">
        <v>137</v>
      </c>
      <c r="N14" s="50" t="s">
        <v>2</v>
      </c>
      <c r="O14" s="50" t="s">
        <v>137</v>
      </c>
      <c r="P14" s="50" t="s">
        <v>2</v>
      </c>
      <c r="Q14" s="50" t="s">
        <v>137</v>
      </c>
      <c r="R14" s="50" t="s">
        <v>2</v>
      </c>
      <c r="S14" s="50" t="s">
        <v>137</v>
      </c>
      <c r="T14" s="50" t="s">
        <v>2</v>
      </c>
      <c r="U14" s="50" t="s">
        <v>138</v>
      </c>
      <c r="V14" s="50" t="s">
        <v>1163</v>
      </c>
      <c r="W14" s="51" t="s">
        <v>1163</v>
      </c>
      <c r="X14" s="17" t="s">
        <v>1163</v>
      </c>
      <c r="Y14" s="21" t="s">
        <v>1163</v>
      </c>
    </row>
    <row r="15" spans="1:25" s="18" customFormat="1" x14ac:dyDescent="0.3">
      <c r="A15" s="11" t="s">
        <v>1286</v>
      </c>
      <c r="B15" s="12">
        <v>1151</v>
      </c>
      <c r="C15" s="23" t="s">
        <v>560</v>
      </c>
      <c r="D15" s="23" t="s">
        <v>561</v>
      </c>
      <c r="E15" s="22" t="s">
        <v>562</v>
      </c>
      <c r="F15" s="24">
        <v>45805</v>
      </c>
      <c r="G15" s="22" t="s">
        <v>550</v>
      </c>
      <c r="H15" s="22" t="s">
        <v>563</v>
      </c>
      <c r="I15" s="22" t="s">
        <v>6</v>
      </c>
      <c r="J15" s="22" t="s">
        <v>439</v>
      </c>
      <c r="K15" s="16" t="s">
        <v>96</v>
      </c>
      <c r="L15" s="50" t="s">
        <v>2</v>
      </c>
      <c r="M15" s="50" t="s">
        <v>137</v>
      </c>
      <c r="N15" s="50" t="s">
        <v>2</v>
      </c>
      <c r="O15" s="50" t="s">
        <v>137</v>
      </c>
      <c r="P15" s="50" t="s">
        <v>2</v>
      </c>
      <c r="Q15" s="50" t="s">
        <v>137</v>
      </c>
      <c r="R15" s="50" t="s">
        <v>2</v>
      </c>
      <c r="S15" s="50" t="s">
        <v>137</v>
      </c>
      <c r="T15" s="50" t="s">
        <v>2</v>
      </c>
      <c r="U15" s="50" t="s">
        <v>138</v>
      </c>
      <c r="V15" s="50" t="s">
        <v>1163</v>
      </c>
      <c r="W15" s="51" t="s">
        <v>1163</v>
      </c>
      <c r="X15" s="17" t="s">
        <v>1163</v>
      </c>
      <c r="Y15" s="21" t="s">
        <v>1163</v>
      </c>
    </row>
    <row r="16" spans="1:25" s="18" customFormat="1" x14ac:dyDescent="0.3">
      <c r="A16" s="11" t="s">
        <v>1286</v>
      </c>
      <c r="B16" s="12">
        <v>1300</v>
      </c>
      <c r="C16" s="13" t="s">
        <v>727</v>
      </c>
      <c r="D16" s="13" t="s">
        <v>728</v>
      </c>
      <c r="E16" s="8" t="s">
        <v>729</v>
      </c>
      <c r="F16" s="14">
        <v>45895</v>
      </c>
      <c r="G16" s="8" t="s">
        <v>550</v>
      </c>
      <c r="H16" s="8" t="s">
        <v>730</v>
      </c>
      <c r="I16" s="8" t="s">
        <v>51</v>
      </c>
      <c r="J16" s="8" t="s">
        <v>473</v>
      </c>
      <c r="K16" s="16" t="s">
        <v>142</v>
      </c>
      <c r="L16" s="50" t="s">
        <v>2</v>
      </c>
      <c r="M16" s="50" t="s">
        <v>137</v>
      </c>
      <c r="N16" s="50" t="s">
        <v>2</v>
      </c>
      <c r="O16" s="50" t="s">
        <v>137</v>
      </c>
      <c r="P16" s="50" t="s">
        <v>2</v>
      </c>
      <c r="Q16" s="50" t="s">
        <v>137</v>
      </c>
      <c r="R16" s="50" t="s">
        <v>2</v>
      </c>
      <c r="S16" s="50" t="s">
        <v>137</v>
      </c>
      <c r="T16" s="50" t="s">
        <v>2</v>
      </c>
      <c r="U16" s="50" t="s">
        <v>138</v>
      </c>
      <c r="V16" s="50" t="s">
        <v>1163</v>
      </c>
      <c r="W16" s="51" t="s">
        <v>1163</v>
      </c>
      <c r="X16" s="17" t="s">
        <v>1163</v>
      </c>
      <c r="Y16" s="21" t="s">
        <v>1163</v>
      </c>
    </row>
    <row r="17" spans="1:25" s="18" customFormat="1" x14ac:dyDescent="0.3">
      <c r="A17" s="11" t="s">
        <v>1286</v>
      </c>
      <c r="B17" s="12">
        <v>1301</v>
      </c>
      <c r="C17" s="23" t="s">
        <v>722</v>
      </c>
      <c r="D17" s="23" t="s">
        <v>723</v>
      </c>
      <c r="E17" s="22" t="s">
        <v>724</v>
      </c>
      <c r="F17" s="24">
        <v>45895</v>
      </c>
      <c r="G17" s="22" t="s">
        <v>550</v>
      </c>
      <c r="H17" s="22" t="s">
        <v>725</v>
      </c>
      <c r="I17" s="22" t="s">
        <v>6</v>
      </c>
      <c r="J17" s="22" t="s">
        <v>695</v>
      </c>
      <c r="K17" s="16" t="s">
        <v>96</v>
      </c>
      <c r="L17" s="50" t="s">
        <v>2</v>
      </c>
      <c r="M17" s="50" t="s">
        <v>137</v>
      </c>
      <c r="N17" s="50" t="s">
        <v>2</v>
      </c>
      <c r="O17" s="50" t="s">
        <v>137</v>
      </c>
      <c r="P17" s="50" t="s">
        <v>2</v>
      </c>
      <c r="Q17" s="50" t="s">
        <v>137</v>
      </c>
      <c r="R17" s="50" t="s">
        <v>2</v>
      </c>
      <c r="S17" s="50" t="s">
        <v>137</v>
      </c>
      <c r="T17" s="50" t="s">
        <v>2</v>
      </c>
      <c r="U17" s="50" t="s">
        <v>138</v>
      </c>
      <c r="V17" s="50" t="s">
        <v>1163</v>
      </c>
      <c r="W17" s="51" t="s">
        <v>1163</v>
      </c>
      <c r="X17" s="17" t="s">
        <v>1163</v>
      </c>
      <c r="Y17" s="21" t="s">
        <v>1163</v>
      </c>
    </row>
    <row r="18" spans="1:25" s="18" customFormat="1" x14ac:dyDescent="0.3">
      <c r="A18" s="11" t="s">
        <v>1286</v>
      </c>
      <c r="B18" s="12">
        <v>1283</v>
      </c>
      <c r="C18" s="13" t="s">
        <v>720</v>
      </c>
      <c r="D18" s="13" t="s">
        <v>310</v>
      </c>
      <c r="E18" s="8" t="s">
        <v>721</v>
      </c>
      <c r="F18" s="14">
        <v>45895</v>
      </c>
      <c r="G18" s="8" t="s">
        <v>550</v>
      </c>
      <c r="H18" s="8" t="s">
        <v>726</v>
      </c>
      <c r="I18" s="22" t="s">
        <v>5</v>
      </c>
      <c r="J18" s="8" t="s">
        <v>901</v>
      </c>
      <c r="K18" s="16" t="s">
        <v>39</v>
      </c>
      <c r="L18" s="50" t="s">
        <v>2</v>
      </c>
      <c r="M18" s="50" t="s">
        <v>137</v>
      </c>
      <c r="N18" s="50" t="s">
        <v>2</v>
      </c>
      <c r="O18" s="50" t="s">
        <v>137</v>
      </c>
      <c r="P18" s="50" t="s">
        <v>2</v>
      </c>
      <c r="Q18" s="50" t="s">
        <v>137</v>
      </c>
      <c r="R18" s="50" t="s">
        <v>2</v>
      </c>
      <c r="S18" s="50" t="s">
        <v>137</v>
      </c>
      <c r="T18" s="50" t="s">
        <v>2</v>
      </c>
      <c r="U18" s="50" t="s">
        <v>138</v>
      </c>
      <c r="V18" s="50" t="s">
        <v>1163</v>
      </c>
      <c r="W18" s="51" t="s">
        <v>1163</v>
      </c>
      <c r="X18" s="17" t="s">
        <v>1163</v>
      </c>
      <c r="Y18" s="21" t="s">
        <v>1163</v>
      </c>
    </row>
    <row r="19" spans="1:25" s="18" customFormat="1" x14ac:dyDescent="0.3">
      <c r="A19" s="11" t="s">
        <v>1286</v>
      </c>
      <c r="B19" s="12">
        <v>1309</v>
      </c>
      <c r="C19" s="23" t="s">
        <v>750</v>
      </c>
      <c r="D19" s="23" t="s">
        <v>751</v>
      </c>
      <c r="E19" s="22" t="s">
        <v>752</v>
      </c>
      <c r="F19" s="24">
        <v>45903</v>
      </c>
      <c r="G19" s="22" t="s">
        <v>550</v>
      </c>
      <c r="H19" s="22" t="s">
        <v>753</v>
      </c>
      <c r="I19" s="22" t="s">
        <v>51</v>
      </c>
      <c r="J19" s="22" t="s">
        <v>90</v>
      </c>
      <c r="K19" s="16" t="s">
        <v>52</v>
      </c>
      <c r="L19" s="50" t="s">
        <v>2</v>
      </c>
      <c r="M19" s="50" t="s">
        <v>137</v>
      </c>
      <c r="N19" s="50" t="s">
        <v>2</v>
      </c>
      <c r="O19" s="50" t="s">
        <v>137</v>
      </c>
      <c r="P19" s="50" t="s">
        <v>2</v>
      </c>
      <c r="Q19" s="50" t="s">
        <v>137</v>
      </c>
      <c r="R19" s="50" t="s">
        <v>2</v>
      </c>
      <c r="S19" s="50" t="s">
        <v>137</v>
      </c>
      <c r="T19" s="50" t="s">
        <v>2</v>
      </c>
      <c r="U19" s="50" t="s">
        <v>138</v>
      </c>
      <c r="V19" s="50" t="s">
        <v>1163</v>
      </c>
      <c r="W19" s="51" t="s">
        <v>1163</v>
      </c>
      <c r="X19" s="17" t="s">
        <v>1163</v>
      </c>
      <c r="Y19" s="21" t="s">
        <v>1163</v>
      </c>
    </row>
    <row r="20" spans="1:25" s="18" customFormat="1" x14ac:dyDescent="0.3">
      <c r="A20" s="11" t="s">
        <v>1286</v>
      </c>
      <c r="B20" s="12"/>
      <c r="C20" s="13" t="s">
        <v>1046</v>
      </c>
      <c r="D20" s="13" t="s">
        <v>360</v>
      </c>
      <c r="E20" s="8" t="s">
        <v>1079</v>
      </c>
      <c r="F20" s="14">
        <v>46077</v>
      </c>
      <c r="G20" s="8" t="s">
        <v>550</v>
      </c>
      <c r="H20" s="8" t="s">
        <v>1061</v>
      </c>
      <c r="I20" s="8" t="s">
        <v>51</v>
      </c>
      <c r="J20" s="8" t="s">
        <v>1045</v>
      </c>
      <c r="K20" s="16" t="s">
        <v>52</v>
      </c>
      <c r="L20" s="50" t="s">
        <v>2</v>
      </c>
      <c r="M20" s="50" t="s">
        <v>137</v>
      </c>
      <c r="N20" s="50" t="s">
        <v>2</v>
      </c>
      <c r="O20" s="50" t="s">
        <v>137</v>
      </c>
      <c r="P20" s="50" t="s">
        <v>2</v>
      </c>
      <c r="Q20" s="50" t="s">
        <v>137</v>
      </c>
      <c r="R20" s="50" t="s">
        <v>2</v>
      </c>
      <c r="S20" s="50" t="s">
        <v>137</v>
      </c>
      <c r="T20" s="50" t="s">
        <v>2</v>
      </c>
      <c r="U20" s="50" t="s">
        <v>138</v>
      </c>
      <c r="V20" s="50" t="s">
        <v>1163</v>
      </c>
      <c r="W20" s="51" t="s">
        <v>1163</v>
      </c>
      <c r="X20" s="17" t="s">
        <v>1163</v>
      </c>
      <c r="Y20" s="21" t="s">
        <v>1163</v>
      </c>
    </row>
    <row r="21" spans="1:25" s="18" customFormat="1" x14ac:dyDescent="0.3">
      <c r="A21" s="11" t="s">
        <v>1286</v>
      </c>
      <c r="B21" s="12"/>
      <c r="C21" s="23" t="s">
        <v>1050</v>
      </c>
      <c r="D21" s="23" t="s">
        <v>1051</v>
      </c>
      <c r="E21" s="22" t="s">
        <v>1082</v>
      </c>
      <c r="F21" s="24">
        <v>46077</v>
      </c>
      <c r="G21" s="22" t="s">
        <v>550</v>
      </c>
      <c r="H21" s="22" t="s">
        <v>1064</v>
      </c>
      <c r="I21" s="8" t="s">
        <v>51</v>
      </c>
      <c r="J21" s="22" t="s">
        <v>224</v>
      </c>
      <c r="K21" s="16" t="s">
        <v>52</v>
      </c>
      <c r="L21" s="50" t="s">
        <v>2</v>
      </c>
      <c r="M21" s="50" t="s">
        <v>137</v>
      </c>
      <c r="N21" s="50" t="s">
        <v>2</v>
      </c>
      <c r="O21" s="50" t="s">
        <v>137</v>
      </c>
      <c r="P21" s="50" t="s">
        <v>2</v>
      </c>
      <c r="Q21" s="50" t="s">
        <v>137</v>
      </c>
      <c r="R21" s="50" t="s">
        <v>2</v>
      </c>
      <c r="S21" s="50" t="s">
        <v>137</v>
      </c>
      <c r="T21" s="50" t="s">
        <v>2</v>
      </c>
      <c r="U21" s="50" t="s">
        <v>138</v>
      </c>
      <c r="V21" s="50" t="s">
        <v>1163</v>
      </c>
      <c r="W21" s="51" t="s">
        <v>1163</v>
      </c>
      <c r="X21" s="17" t="s">
        <v>1163</v>
      </c>
      <c r="Y21" s="21" t="s">
        <v>1163</v>
      </c>
    </row>
    <row r="22" spans="1:25" s="18" customFormat="1" x14ac:dyDescent="0.3">
      <c r="A22" s="11" t="s">
        <v>1286</v>
      </c>
      <c r="B22" s="12"/>
      <c r="C22" s="13" t="s">
        <v>1100</v>
      </c>
      <c r="D22" s="13" t="s">
        <v>1101</v>
      </c>
      <c r="E22" s="8" t="s">
        <v>1167</v>
      </c>
      <c r="F22" s="14">
        <v>46104</v>
      </c>
      <c r="G22" s="8" t="s">
        <v>1099</v>
      </c>
      <c r="H22" s="8" t="s">
        <v>1102</v>
      </c>
      <c r="I22" s="8" t="s">
        <v>51</v>
      </c>
      <c r="J22" s="8" t="s">
        <v>1016</v>
      </c>
      <c r="K22" s="8" t="s">
        <v>142</v>
      </c>
      <c r="L22" s="58" t="s">
        <v>1</v>
      </c>
      <c r="M22" s="58" t="s">
        <v>138</v>
      </c>
      <c r="N22" s="58" t="s">
        <v>1</v>
      </c>
      <c r="O22" s="58" t="s">
        <v>138</v>
      </c>
      <c r="P22" s="58" t="s">
        <v>1</v>
      </c>
      <c r="Q22" s="58" t="s">
        <v>138</v>
      </c>
      <c r="R22" s="58" t="s">
        <v>1</v>
      </c>
      <c r="S22" s="58" t="s">
        <v>138</v>
      </c>
      <c r="T22" s="58" t="s">
        <v>1</v>
      </c>
      <c r="U22" s="58" t="s">
        <v>164</v>
      </c>
      <c r="V22" s="58" t="s">
        <v>1163</v>
      </c>
      <c r="W22" s="58" t="s">
        <v>1163</v>
      </c>
      <c r="X22" s="31" t="s">
        <v>1163</v>
      </c>
      <c r="Y22" s="31" t="s">
        <v>1163</v>
      </c>
    </row>
    <row r="23" spans="1:25" s="18" customFormat="1" x14ac:dyDescent="0.3">
      <c r="A23" s="11" t="s">
        <v>1286</v>
      </c>
      <c r="B23" s="12"/>
      <c r="C23" s="23" t="s">
        <v>1103</v>
      </c>
      <c r="D23" s="23" t="s">
        <v>1104</v>
      </c>
      <c r="E23" s="22" t="s">
        <v>1168</v>
      </c>
      <c r="F23" s="24">
        <v>46104</v>
      </c>
      <c r="G23" s="22" t="s">
        <v>1099</v>
      </c>
      <c r="H23" s="22" t="s">
        <v>1105</v>
      </c>
      <c r="I23" s="22" t="s">
        <v>51</v>
      </c>
      <c r="J23" s="22" t="s">
        <v>1106</v>
      </c>
      <c r="K23" s="8" t="s">
        <v>52</v>
      </c>
      <c r="L23" s="58" t="s">
        <v>2</v>
      </c>
      <c r="M23" s="58" t="s">
        <v>137</v>
      </c>
      <c r="N23" s="58" t="s">
        <v>2</v>
      </c>
      <c r="O23" s="58" t="s">
        <v>137</v>
      </c>
      <c r="P23" s="58" t="s">
        <v>2</v>
      </c>
      <c r="Q23" s="58" t="s">
        <v>137</v>
      </c>
      <c r="R23" s="58" t="s">
        <v>2</v>
      </c>
      <c r="S23" s="58" t="s">
        <v>137</v>
      </c>
      <c r="T23" s="58" t="s">
        <v>2</v>
      </c>
      <c r="U23" s="58" t="s">
        <v>138</v>
      </c>
      <c r="V23" s="58" t="s">
        <v>1163</v>
      </c>
      <c r="W23" s="58" t="s">
        <v>1163</v>
      </c>
      <c r="X23" s="31" t="s">
        <v>1163</v>
      </c>
      <c r="Y23" s="31" t="s">
        <v>1163</v>
      </c>
    </row>
    <row r="24" spans="1:25" s="18" customFormat="1" x14ac:dyDescent="0.3">
      <c r="A24" s="11" t="s">
        <v>1286</v>
      </c>
      <c r="B24" s="12"/>
      <c r="C24" s="13" t="s">
        <v>1107</v>
      </c>
      <c r="D24" s="13" t="s">
        <v>1108</v>
      </c>
      <c r="E24" s="8" t="s">
        <v>1169</v>
      </c>
      <c r="F24" s="14">
        <v>46104</v>
      </c>
      <c r="G24" s="8" t="s">
        <v>1099</v>
      </c>
      <c r="H24" s="8" t="s">
        <v>1109</v>
      </c>
      <c r="I24" s="22" t="s">
        <v>51</v>
      </c>
      <c r="J24" s="8" t="s">
        <v>224</v>
      </c>
      <c r="K24" s="8" t="s">
        <v>52</v>
      </c>
      <c r="L24" s="58" t="s">
        <v>1</v>
      </c>
      <c r="M24" s="58" t="s">
        <v>138</v>
      </c>
      <c r="N24" s="58" t="s">
        <v>1</v>
      </c>
      <c r="O24" s="58" t="s">
        <v>138</v>
      </c>
      <c r="P24" s="58" t="s">
        <v>1</v>
      </c>
      <c r="Q24" s="58" t="s">
        <v>138</v>
      </c>
      <c r="R24" s="58" t="s">
        <v>1</v>
      </c>
      <c r="S24" s="58" t="s">
        <v>138</v>
      </c>
      <c r="T24" s="58" t="s">
        <v>1</v>
      </c>
      <c r="U24" s="58" t="s">
        <v>164</v>
      </c>
      <c r="V24" s="58" t="s">
        <v>1163</v>
      </c>
      <c r="W24" s="58" t="s">
        <v>1163</v>
      </c>
      <c r="X24" s="31" t="s">
        <v>1163</v>
      </c>
      <c r="Y24" s="31" t="s">
        <v>1163</v>
      </c>
    </row>
    <row r="25" spans="1:25" s="18" customFormat="1" x14ac:dyDescent="0.3">
      <c r="A25" s="11" t="s">
        <v>1286</v>
      </c>
      <c r="B25" s="12"/>
      <c r="C25" s="23" t="s">
        <v>1110</v>
      </c>
      <c r="D25" s="23" t="s">
        <v>847</v>
      </c>
      <c r="E25" s="22" t="s">
        <v>1170</v>
      </c>
      <c r="F25" s="24">
        <v>46104</v>
      </c>
      <c r="G25" s="22" t="s">
        <v>1099</v>
      </c>
      <c r="H25" s="22" t="s">
        <v>1117</v>
      </c>
      <c r="I25" s="22" t="s">
        <v>6</v>
      </c>
      <c r="J25" s="22" t="s">
        <v>1111</v>
      </c>
      <c r="K25" s="8" t="s">
        <v>62</v>
      </c>
      <c r="L25" s="58" t="s">
        <v>2</v>
      </c>
      <c r="M25" s="58" t="s">
        <v>137</v>
      </c>
      <c r="N25" s="58" t="s">
        <v>2</v>
      </c>
      <c r="O25" s="58" t="s">
        <v>137</v>
      </c>
      <c r="P25" s="58" t="s">
        <v>2</v>
      </c>
      <c r="Q25" s="58" t="s">
        <v>137</v>
      </c>
      <c r="R25" s="58" t="s">
        <v>2</v>
      </c>
      <c r="S25" s="58" t="s">
        <v>137</v>
      </c>
      <c r="T25" s="58" t="s">
        <v>2</v>
      </c>
      <c r="U25" s="58" t="s">
        <v>138</v>
      </c>
      <c r="V25" s="58" t="s">
        <v>1163</v>
      </c>
      <c r="W25" s="58" t="s">
        <v>1163</v>
      </c>
      <c r="X25" s="31" t="s">
        <v>1163</v>
      </c>
      <c r="Y25" s="31" t="s">
        <v>1163</v>
      </c>
    </row>
    <row r="26" spans="1:25" s="18" customFormat="1" x14ac:dyDescent="0.3">
      <c r="A26" s="11" t="s">
        <v>1286</v>
      </c>
      <c r="B26" s="12"/>
      <c r="C26" s="23" t="s">
        <v>1112</v>
      </c>
      <c r="D26" s="23" t="s">
        <v>1113</v>
      </c>
      <c r="E26" s="22" t="s">
        <v>1116</v>
      </c>
      <c r="F26" s="24">
        <v>46104</v>
      </c>
      <c r="G26" s="22" t="s">
        <v>1099</v>
      </c>
      <c r="H26" s="22" t="s">
        <v>1114</v>
      </c>
      <c r="I26" s="8" t="s">
        <v>7</v>
      </c>
      <c r="J26" s="22" t="s">
        <v>1115</v>
      </c>
      <c r="K26" s="8" t="s">
        <v>63</v>
      </c>
      <c r="L26" s="58" t="s">
        <v>2</v>
      </c>
      <c r="M26" s="58" t="s">
        <v>137</v>
      </c>
      <c r="N26" s="58" t="s">
        <v>2</v>
      </c>
      <c r="O26" s="58" t="s">
        <v>137</v>
      </c>
      <c r="P26" s="58" t="s">
        <v>2</v>
      </c>
      <c r="Q26" s="58" t="s">
        <v>137</v>
      </c>
      <c r="R26" s="58" t="s">
        <v>2</v>
      </c>
      <c r="S26" s="58" t="s">
        <v>137</v>
      </c>
      <c r="T26" s="58" t="s">
        <v>2</v>
      </c>
      <c r="U26" s="58" t="s">
        <v>138</v>
      </c>
      <c r="V26" s="58" t="s">
        <v>1163</v>
      </c>
      <c r="W26" s="58" t="s">
        <v>1163</v>
      </c>
      <c r="X26" s="31" t="s">
        <v>1163</v>
      </c>
      <c r="Y26" s="31" t="s">
        <v>1163</v>
      </c>
    </row>
    <row r="27" spans="1:25" s="18" customFormat="1" x14ac:dyDescent="0.3">
      <c r="A27" s="11" t="s">
        <v>1286</v>
      </c>
      <c r="B27" s="23"/>
      <c r="C27" s="13" t="s">
        <v>1127</v>
      </c>
      <c r="D27" s="13" t="s">
        <v>1128</v>
      </c>
      <c r="E27" s="13" t="s">
        <v>1173</v>
      </c>
      <c r="F27" s="14">
        <v>46104</v>
      </c>
      <c r="G27" s="13" t="s">
        <v>1099</v>
      </c>
      <c r="H27" s="13" t="s">
        <v>1129</v>
      </c>
      <c r="I27" s="23" t="s">
        <v>51</v>
      </c>
      <c r="J27" s="13" t="s">
        <v>1016</v>
      </c>
      <c r="K27" s="13" t="s">
        <v>142</v>
      </c>
      <c r="L27" s="58" t="s">
        <v>1</v>
      </c>
      <c r="M27" s="58" t="s">
        <v>138</v>
      </c>
      <c r="N27" s="58" t="s">
        <v>1</v>
      </c>
      <c r="O27" s="58" t="s">
        <v>138</v>
      </c>
      <c r="P27" s="58" t="s">
        <v>1</v>
      </c>
      <c r="Q27" s="58" t="s">
        <v>138</v>
      </c>
      <c r="R27" s="58" t="s">
        <v>1</v>
      </c>
      <c r="S27" s="58" t="s">
        <v>138</v>
      </c>
      <c r="T27" s="58" t="s">
        <v>1</v>
      </c>
      <c r="U27" s="58" t="s">
        <v>164</v>
      </c>
      <c r="V27" s="58" t="s">
        <v>1163</v>
      </c>
      <c r="W27" s="58" t="s">
        <v>1163</v>
      </c>
      <c r="X27" s="31" t="s">
        <v>1163</v>
      </c>
      <c r="Y27" s="31" t="s">
        <v>1163</v>
      </c>
    </row>
    <row r="28" spans="1:25" s="18" customFormat="1" x14ac:dyDescent="0.3">
      <c r="A28" s="11" t="s">
        <v>1286</v>
      </c>
      <c r="B28" s="12"/>
      <c r="C28" s="23" t="s">
        <v>1147</v>
      </c>
      <c r="D28" s="23" t="s">
        <v>675</v>
      </c>
      <c r="E28" s="22" t="s">
        <v>1153</v>
      </c>
      <c r="F28" s="24">
        <v>46125</v>
      </c>
      <c r="G28" s="22" t="s">
        <v>1099</v>
      </c>
      <c r="H28" s="22" t="s">
        <v>1148</v>
      </c>
      <c r="I28" s="22" t="s">
        <v>5</v>
      </c>
      <c r="J28" s="22" t="s">
        <v>415</v>
      </c>
      <c r="K28" s="16" t="s">
        <v>50</v>
      </c>
      <c r="L28" s="58" t="s">
        <v>2</v>
      </c>
      <c r="M28" s="58" t="s">
        <v>137</v>
      </c>
      <c r="N28" s="58" t="s">
        <v>2</v>
      </c>
      <c r="O28" s="58" t="s">
        <v>137</v>
      </c>
      <c r="P28" s="58" t="s">
        <v>2</v>
      </c>
      <c r="Q28" s="58" t="s">
        <v>137</v>
      </c>
      <c r="R28" s="58" t="s">
        <v>2</v>
      </c>
      <c r="S28" s="58" t="s">
        <v>137</v>
      </c>
      <c r="T28" s="58" t="s">
        <v>2</v>
      </c>
      <c r="U28" s="58" t="s">
        <v>138</v>
      </c>
      <c r="V28" s="58" t="s">
        <v>1163</v>
      </c>
      <c r="W28" s="58" t="s">
        <v>1163</v>
      </c>
      <c r="X28" s="32" t="s">
        <v>1163</v>
      </c>
      <c r="Y28" s="32" t="s">
        <v>1163</v>
      </c>
    </row>
    <row r="29" spans="1:25" s="18" customFormat="1" x14ac:dyDescent="0.3">
      <c r="A29" s="11" t="s">
        <v>1286</v>
      </c>
      <c r="B29" s="12"/>
      <c r="C29" s="13" t="s">
        <v>1149</v>
      </c>
      <c r="D29" s="13" t="s">
        <v>1150</v>
      </c>
      <c r="E29" s="8" t="s">
        <v>1154</v>
      </c>
      <c r="F29" s="14">
        <v>46125</v>
      </c>
      <c r="G29" s="8" t="s">
        <v>1099</v>
      </c>
      <c r="H29" s="8" t="s">
        <v>1151</v>
      </c>
      <c r="I29" s="8" t="s">
        <v>6</v>
      </c>
      <c r="J29" s="8" t="s">
        <v>1152</v>
      </c>
      <c r="K29" s="16" t="s">
        <v>96</v>
      </c>
      <c r="L29" s="58" t="s">
        <v>2</v>
      </c>
      <c r="M29" s="58" t="s">
        <v>137</v>
      </c>
      <c r="N29" s="58" t="s">
        <v>2</v>
      </c>
      <c r="O29" s="58" t="s">
        <v>137</v>
      </c>
      <c r="P29" s="58" t="s">
        <v>2</v>
      </c>
      <c r="Q29" s="58" t="s">
        <v>137</v>
      </c>
      <c r="R29" s="58" t="s">
        <v>2</v>
      </c>
      <c r="S29" s="58" t="s">
        <v>137</v>
      </c>
      <c r="T29" s="58" t="s">
        <v>2</v>
      </c>
      <c r="U29" s="58" t="s">
        <v>138</v>
      </c>
      <c r="V29" s="58" t="s">
        <v>1163</v>
      </c>
      <c r="W29" s="58" t="s">
        <v>1163</v>
      </c>
      <c r="X29" s="32" t="s">
        <v>1163</v>
      </c>
      <c r="Y29" s="32" t="s">
        <v>1163</v>
      </c>
    </row>
    <row r="30" spans="1:25" s="18" customFormat="1" x14ac:dyDescent="0.3">
      <c r="A30" s="11" t="s">
        <v>1286</v>
      </c>
      <c r="B30" s="12">
        <v>1058</v>
      </c>
      <c r="C30" s="23" t="s">
        <v>435</v>
      </c>
      <c r="D30" s="23" t="s">
        <v>436</v>
      </c>
      <c r="E30" s="22" t="s">
        <v>437</v>
      </c>
      <c r="F30" s="24">
        <v>45663</v>
      </c>
      <c r="G30" s="22" t="s">
        <v>177</v>
      </c>
      <c r="H30" s="22" t="s">
        <v>438</v>
      </c>
      <c r="I30" s="15" t="s">
        <v>7</v>
      </c>
      <c r="J30" s="33" t="s">
        <v>1174</v>
      </c>
      <c r="K30" s="16" t="s">
        <v>63</v>
      </c>
      <c r="L30" s="58" t="s">
        <v>1163</v>
      </c>
      <c r="M30" s="58" t="s">
        <v>1163</v>
      </c>
      <c r="N30" s="58" t="s">
        <v>1163</v>
      </c>
      <c r="O30" s="58" t="s">
        <v>1163</v>
      </c>
      <c r="P30" s="58" t="s">
        <v>1163</v>
      </c>
      <c r="Q30" s="58" t="s">
        <v>1163</v>
      </c>
      <c r="R30" s="58" t="s">
        <v>1163</v>
      </c>
      <c r="S30" s="58" t="s">
        <v>1163</v>
      </c>
      <c r="T30" s="58" t="s">
        <v>1163</v>
      </c>
      <c r="U30" s="58" t="s">
        <v>1163</v>
      </c>
      <c r="V30" s="58" t="s">
        <v>1163</v>
      </c>
      <c r="W30" s="58" t="s">
        <v>1163</v>
      </c>
      <c r="X30" s="32" t="s">
        <v>1163</v>
      </c>
      <c r="Y30" s="32" t="s">
        <v>1163</v>
      </c>
    </row>
    <row r="31" spans="1:25" s="18" customFormat="1" x14ac:dyDescent="0.3">
      <c r="A31" s="11" t="s">
        <v>1286</v>
      </c>
      <c r="B31" s="12">
        <v>1376</v>
      </c>
      <c r="C31" s="13" t="s">
        <v>864</v>
      </c>
      <c r="D31" s="13" t="s">
        <v>640</v>
      </c>
      <c r="E31" s="8" t="s">
        <v>875</v>
      </c>
      <c r="F31" s="14">
        <v>45978</v>
      </c>
      <c r="G31" s="8" t="s">
        <v>177</v>
      </c>
      <c r="H31" s="8" t="s">
        <v>868</v>
      </c>
      <c r="I31" s="22" t="s">
        <v>51</v>
      </c>
      <c r="J31" s="8" t="s">
        <v>576</v>
      </c>
      <c r="K31" s="16" t="s">
        <v>142</v>
      </c>
      <c r="L31" s="58" t="s">
        <v>1</v>
      </c>
      <c r="M31" s="58" t="s">
        <v>138</v>
      </c>
      <c r="N31" s="58" t="s">
        <v>1</v>
      </c>
      <c r="O31" s="58" t="s">
        <v>138</v>
      </c>
      <c r="P31" s="58" t="s">
        <v>1163</v>
      </c>
      <c r="Q31" s="58" t="s">
        <v>1163</v>
      </c>
      <c r="R31" s="58" t="s">
        <v>1</v>
      </c>
      <c r="S31" s="58" t="s">
        <v>138</v>
      </c>
      <c r="T31" s="58" t="s">
        <v>1</v>
      </c>
      <c r="U31" s="58" t="s">
        <v>138</v>
      </c>
      <c r="V31" s="58" t="s">
        <v>1</v>
      </c>
      <c r="W31" s="58" t="s">
        <v>149</v>
      </c>
      <c r="X31" s="32" t="s">
        <v>1163</v>
      </c>
      <c r="Y31" s="32" t="s">
        <v>1163</v>
      </c>
    </row>
    <row r="32" spans="1:25" s="18" customFormat="1" x14ac:dyDescent="0.3">
      <c r="A32" s="11" t="s">
        <v>1286</v>
      </c>
      <c r="B32" s="12">
        <v>1060</v>
      </c>
      <c r="C32" s="23" t="s">
        <v>440</v>
      </c>
      <c r="D32" s="23" t="s">
        <v>396</v>
      </c>
      <c r="E32" s="22" t="s">
        <v>441</v>
      </c>
      <c r="F32" s="24">
        <v>45663</v>
      </c>
      <c r="G32" s="22" t="s">
        <v>177</v>
      </c>
      <c r="H32" s="22" t="s">
        <v>442</v>
      </c>
      <c r="I32" s="22" t="s">
        <v>5</v>
      </c>
      <c r="J32" s="22" t="s">
        <v>451</v>
      </c>
      <c r="K32" s="16" t="s">
        <v>50</v>
      </c>
      <c r="L32" s="58" t="s">
        <v>2</v>
      </c>
      <c r="M32" s="58" t="s">
        <v>137</v>
      </c>
      <c r="N32" s="58" t="s">
        <v>2</v>
      </c>
      <c r="O32" s="58" t="s">
        <v>137</v>
      </c>
      <c r="P32" s="58" t="s">
        <v>2</v>
      </c>
      <c r="Q32" s="58" t="s">
        <v>137</v>
      </c>
      <c r="R32" s="58" t="s">
        <v>2</v>
      </c>
      <c r="S32" s="58" t="s">
        <v>137</v>
      </c>
      <c r="T32" s="58" t="s">
        <v>3</v>
      </c>
      <c r="U32" s="58" t="s">
        <v>137</v>
      </c>
      <c r="V32" s="58" t="s">
        <v>1163</v>
      </c>
      <c r="W32" s="58" t="s">
        <v>1163</v>
      </c>
      <c r="X32" s="32" t="s">
        <v>1163</v>
      </c>
      <c r="Y32" s="32" t="s">
        <v>1163</v>
      </c>
    </row>
    <row r="33" spans="1:25" s="18" customFormat="1" x14ac:dyDescent="0.3">
      <c r="A33" s="11" t="s">
        <v>1286</v>
      </c>
      <c r="B33" s="12">
        <v>1105</v>
      </c>
      <c r="C33" s="13" t="s">
        <v>544</v>
      </c>
      <c r="D33" s="13" t="s">
        <v>488</v>
      </c>
      <c r="E33" s="8" t="s">
        <v>545</v>
      </c>
      <c r="F33" s="14">
        <v>45719</v>
      </c>
      <c r="G33" s="8" t="s">
        <v>177</v>
      </c>
      <c r="H33" s="8" t="s">
        <v>489</v>
      </c>
      <c r="I33" s="8" t="s">
        <v>51</v>
      </c>
      <c r="J33" s="8" t="s">
        <v>490</v>
      </c>
      <c r="K33" s="16" t="s">
        <v>52</v>
      </c>
      <c r="L33" s="58" t="s">
        <v>1</v>
      </c>
      <c r="M33" s="58" t="s">
        <v>138</v>
      </c>
      <c r="N33" s="58" t="s">
        <v>1</v>
      </c>
      <c r="O33" s="58" t="s">
        <v>138</v>
      </c>
      <c r="P33" s="58" t="s">
        <v>2</v>
      </c>
      <c r="Q33" s="58" t="s">
        <v>137</v>
      </c>
      <c r="R33" s="58" t="s">
        <v>2</v>
      </c>
      <c r="S33" s="58" t="s">
        <v>137</v>
      </c>
      <c r="T33" s="58" t="s">
        <v>1163</v>
      </c>
      <c r="U33" s="58" t="s">
        <v>1163</v>
      </c>
      <c r="V33" s="58" t="s">
        <v>1</v>
      </c>
      <c r="W33" s="58" t="s">
        <v>149</v>
      </c>
      <c r="X33" s="32" t="s">
        <v>1163</v>
      </c>
      <c r="Y33" s="32" t="s">
        <v>1163</v>
      </c>
    </row>
    <row r="34" spans="1:25" s="18" customFormat="1" x14ac:dyDescent="0.3">
      <c r="A34" s="11" t="s">
        <v>1286</v>
      </c>
      <c r="B34" s="12">
        <v>1137</v>
      </c>
      <c r="C34" s="13" t="s">
        <v>590</v>
      </c>
      <c r="D34" s="13" t="s">
        <v>591</v>
      </c>
      <c r="E34" s="8" t="s">
        <v>592</v>
      </c>
      <c r="F34" s="14">
        <v>45805</v>
      </c>
      <c r="G34" s="8" t="s">
        <v>177</v>
      </c>
      <c r="H34" s="8" t="s">
        <v>593</v>
      </c>
      <c r="I34" s="28" t="s">
        <v>7</v>
      </c>
      <c r="J34" s="8" t="s">
        <v>903</v>
      </c>
      <c r="K34" s="16" t="s">
        <v>63</v>
      </c>
      <c r="L34" s="58" t="s">
        <v>1</v>
      </c>
      <c r="M34" s="58" t="s">
        <v>138</v>
      </c>
      <c r="N34" s="58" t="s">
        <v>1163</v>
      </c>
      <c r="O34" s="58" t="s">
        <v>1163</v>
      </c>
      <c r="P34" s="58" t="s">
        <v>1</v>
      </c>
      <c r="Q34" s="58" t="s">
        <v>138</v>
      </c>
      <c r="R34" s="58" t="s">
        <v>1</v>
      </c>
      <c r="S34" s="58" t="s">
        <v>138</v>
      </c>
      <c r="T34" s="58" t="s">
        <v>1</v>
      </c>
      <c r="U34" s="58" t="s">
        <v>138</v>
      </c>
      <c r="V34" s="58" t="s">
        <v>1</v>
      </c>
      <c r="W34" s="58" t="s">
        <v>149</v>
      </c>
      <c r="X34" s="32" t="s">
        <v>1163</v>
      </c>
      <c r="Y34" s="32" t="s">
        <v>1163</v>
      </c>
    </row>
    <row r="35" spans="1:25" s="18" customFormat="1" x14ac:dyDescent="0.3">
      <c r="A35" s="11" t="s">
        <v>1286</v>
      </c>
      <c r="B35" s="12">
        <v>126</v>
      </c>
      <c r="C35" s="13" t="s">
        <v>183</v>
      </c>
      <c r="D35" s="13" t="s">
        <v>184</v>
      </c>
      <c r="E35" s="8" t="s">
        <v>185</v>
      </c>
      <c r="F35" s="14">
        <v>43753</v>
      </c>
      <c r="G35" s="8" t="s">
        <v>177</v>
      </c>
      <c r="H35" s="8" t="s">
        <v>186</v>
      </c>
      <c r="I35" s="8" t="s">
        <v>6</v>
      </c>
      <c r="J35" s="8" t="s">
        <v>187</v>
      </c>
      <c r="K35" s="16" t="s">
        <v>62</v>
      </c>
      <c r="L35" s="58" t="s">
        <v>1</v>
      </c>
      <c r="M35" s="58" t="s">
        <v>138</v>
      </c>
      <c r="N35" s="58" t="s">
        <v>1163</v>
      </c>
      <c r="O35" s="58" t="s">
        <v>1163</v>
      </c>
      <c r="P35" s="58" t="s">
        <v>2</v>
      </c>
      <c r="Q35" s="58" t="s">
        <v>137</v>
      </c>
      <c r="R35" s="58" t="s">
        <v>2</v>
      </c>
      <c r="S35" s="58" t="s">
        <v>137</v>
      </c>
      <c r="T35" s="58" t="s">
        <v>2</v>
      </c>
      <c r="U35" s="58" t="s">
        <v>137</v>
      </c>
      <c r="V35" s="58" t="s">
        <v>1</v>
      </c>
      <c r="W35" s="58" t="s">
        <v>149</v>
      </c>
      <c r="X35" s="32" t="s">
        <v>1163</v>
      </c>
      <c r="Y35" s="32" t="s">
        <v>1163</v>
      </c>
    </row>
    <row r="36" spans="1:25" s="18" customFormat="1" x14ac:dyDescent="0.3">
      <c r="A36" s="11" t="s">
        <v>1286</v>
      </c>
      <c r="B36" s="12">
        <v>937</v>
      </c>
      <c r="C36" s="23" t="s">
        <v>404</v>
      </c>
      <c r="D36" s="23" t="s">
        <v>65</v>
      </c>
      <c r="E36" s="22" t="s">
        <v>405</v>
      </c>
      <c r="F36" s="24">
        <v>45357</v>
      </c>
      <c r="G36" s="22" t="s">
        <v>177</v>
      </c>
      <c r="H36" s="22" t="s">
        <v>408</v>
      </c>
      <c r="I36" s="22" t="s">
        <v>5</v>
      </c>
      <c r="J36" s="22" t="s">
        <v>1166</v>
      </c>
      <c r="K36" s="16" t="s">
        <v>50</v>
      </c>
      <c r="L36" s="58" t="s">
        <v>1</v>
      </c>
      <c r="M36" s="58" t="s">
        <v>138</v>
      </c>
      <c r="N36" s="58" t="s">
        <v>1</v>
      </c>
      <c r="O36" s="58" t="s">
        <v>138</v>
      </c>
      <c r="P36" s="58" t="s">
        <v>1163</v>
      </c>
      <c r="Q36" s="58" t="s">
        <v>1163</v>
      </c>
      <c r="R36" s="58" t="s">
        <v>1</v>
      </c>
      <c r="S36" s="58" t="s">
        <v>138</v>
      </c>
      <c r="T36" s="58" t="s">
        <v>1</v>
      </c>
      <c r="U36" s="58" t="s">
        <v>138</v>
      </c>
      <c r="V36" s="58" t="s">
        <v>1</v>
      </c>
      <c r="W36" s="58" t="s">
        <v>149</v>
      </c>
      <c r="X36" s="32" t="s">
        <v>1163</v>
      </c>
      <c r="Y36" s="32" t="s">
        <v>1163</v>
      </c>
    </row>
    <row r="37" spans="1:25" s="18" customFormat="1" x14ac:dyDescent="0.3">
      <c r="A37" s="11" t="s">
        <v>1286</v>
      </c>
      <c r="B37" s="12">
        <v>1267</v>
      </c>
      <c r="C37" s="13" t="s">
        <v>708</v>
      </c>
      <c r="D37" s="13" t="s">
        <v>709</v>
      </c>
      <c r="E37" s="8" t="s">
        <v>710</v>
      </c>
      <c r="F37" s="14">
        <v>45895</v>
      </c>
      <c r="G37" s="8" t="s">
        <v>177</v>
      </c>
      <c r="H37" s="8" t="s">
        <v>711</v>
      </c>
      <c r="I37" s="28" t="s">
        <v>7</v>
      </c>
      <c r="J37" s="8" t="s">
        <v>589</v>
      </c>
      <c r="K37" s="16" t="s">
        <v>63</v>
      </c>
      <c r="L37" s="58" t="s">
        <v>2</v>
      </c>
      <c r="M37" s="58" t="s">
        <v>137</v>
      </c>
      <c r="N37" s="58" t="s">
        <v>2</v>
      </c>
      <c r="O37" s="58" t="s">
        <v>137</v>
      </c>
      <c r="P37" s="58" t="s">
        <v>1</v>
      </c>
      <c r="Q37" s="58" t="s">
        <v>138</v>
      </c>
      <c r="R37" s="58" t="s">
        <v>1</v>
      </c>
      <c r="S37" s="58" t="s">
        <v>138</v>
      </c>
      <c r="T37" s="58" t="s">
        <v>1163</v>
      </c>
      <c r="U37" s="58" t="s">
        <v>1163</v>
      </c>
      <c r="V37" s="58" t="s">
        <v>1</v>
      </c>
      <c r="W37" s="58" t="s">
        <v>149</v>
      </c>
      <c r="X37" s="32" t="s">
        <v>1163</v>
      </c>
      <c r="Y37" s="32" t="s">
        <v>1163</v>
      </c>
    </row>
    <row r="38" spans="1:25" s="18" customFormat="1" x14ac:dyDescent="0.3">
      <c r="A38" s="11" t="s">
        <v>1286</v>
      </c>
      <c r="B38" s="12">
        <v>674</v>
      </c>
      <c r="C38" s="23" t="s">
        <v>188</v>
      </c>
      <c r="D38" s="23" t="s">
        <v>189</v>
      </c>
      <c r="E38" s="22" t="s">
        <v>190</v>
      </c>
      <c r="F38" s="24">
        <v>44655</v>
      </c>
      <c r="G38" s="22" t="s">
        <v>177</v>
      </c>
      <c r="H38" s="22" t="s">
        <v>191</v>
      </c>
      <c r="I38" s="22" t="s">
        <v>51</v>
      </c>
      <c r="J38" s="22" t="s">
        <v>192</v>
      </c>
      <c r="K38" s="16" t="s">
        <v>52</v>
      </c>
      <c r="L38" s="32" t="s">
        <v>1163</v>
      </c>
      <c r="M38" s="32" t="s">
        <v>1163</v>
      </c>
      <c r="N38" s="32" t="s">
        <v>1163</v>
      </c>
      <c r="O38" s="32" t="s">
        <v>1163</v>
      </c>
      <c r="P38" s="32" t="s">
        <v>1163</v>
      </c>
      <c r="Q38" s="32" t="s">
        <v>1163</v>
      </c>
      <c r="R38" s="32" t="s">
        <v>1163</v>
      </c>
      <c r="S38" s="32" t="s">
        <v>1163</v>
      </c>
      <c r="T38" s="32" t="s">
        <v>1163</v>
      </c>
      <c r="U38" s="32" t="s">
        <v>1163</v>
      </c>
      <c r="V38" s="32" t="s">
        <v>1163</v>
      </c>
      <c r="W38" s="32" t="s">
        <v>1163</v>
      </c>
      <c r="X38" s="32" t="s">
        <v>1163</v>
      </c>
      <c r="Y38" s="32" t="s">
        <v>1163</v>
      </c>
    </row>
    <row r="39" spans="1:25" s="18" customFormat="1" x14ac:dyDescent="0.3">
      <c r="A39" s="11" t="s">
        <v>1286</v>
      </c>
      <c r="B39" s="12">
        <v>153</v>
      </c>
      <c r="C39" s="13" t="s">
        <v>193</v>
      </c>
      <c r="D39" s="13" t="s">
        <v>75</v>
      </c>
      <c r="E39" s="8" t="s">
        <v>194</v>
      </c>
      <c r="F39" s="14">
        <v>43776</v>
      </c>
      <c r="G39" s="8" t="s">
        <v>177</v>
      </c>
      <c r="H39" s="8" t="s">
        <v>195</v>
      </c>
      <c r="I39" s="8" t="s">
        <v>5</v>
      </c>
      <c r="J39" s="8" t="s">
        <v>196</v>
      </c>
      <c r="K39" s="16" t="s">
        <v>50</v>
      </c>
      <c r="L39" s="58" t="s">
        <v>1</v>
      </c>
      <c r="M39" s="58" t="s">
        <v>164</v>
      </c>
      <c r="N39" s="58" t="s">
        <v>1</v>
      </c>
      <c r="O39" s="58" t="s">
        <v>164</v>
      </c>
      <c r="P39" s="58" t="s">
        <v>1</v>
      </c>
      <c r="Q39" s="58" t="s">
        <v>164</v>
      </c>
      <c r="R39" s="58" t="s">
        <v>1</v>
      </c>
      <c r="S39" s="58" t="s">
        <v>164</v>
      </c>
      <c r="T39" s="58" t="s">
        <v>1</v>
      </c>
      <c r="U39" s="58" t="s">
        <v>164</v>
      </c>
      <c r="V39" s="32" t="s">
        <v>1163</v>
      </c>
      <c r="W39" s="32" t="s">
        <v>1163</v>
      </c>
      <c r="X39" s="32" t="s">
        <v>1163</v>
      </c>
      <c r="Y39" s="32" t="s">
        <v>1163</v>
      </c>
    </row>
    <row r="40" spans="1:25" s="18" customFormat="1" x14ac:dyDescent="0.3">
      <c r="A40" s="11" t="s">
        <v>1286</v>
      </c>
      <c r="B40" s="12">
        <v>1121</v>
      </c>
      <c r="C40" s="23" t="s">
        <v>527</v>
      </c>
      <c r="D40" s="23" t="s">
        <v>528</v>
      </c>
      <c r="E40" s="22" t="s">
        <v>529</v>
      </c>
      <c r="F40" s="24">
        <v>45721</v>
      </c>
      <c r="G40" s="22" t="s">
        <v>177</v>
      </c>
      <c r="H40" s="22" t="s">
        <v>530</v>
      </c>
      <c r="I40" s="15" t="s">
        <v>7</v>
      </c>
      <c r="J40" s="22" t="s">
        <v>531</v>
      </c>
      <c r="K40" s="16" t="s">
        <v>63</v>
      </c>
      <c r="L40" s="58" t="s">
        <v>2</v>
      </c>
      <c r="M40" s="58" t="s">
        <v>137</v>
      </c>
      <c r="N40" s="58" t="s">
        <v>1</v>
      </c>
      <c r="O40" s="58" t="s">
        <v>138</v>
      </c>
      <c r="P40" s="58" t="s">
        <v>1</v>
      </c>
      <c r="Q40" s="58" t="s">
        <v>138</v>
      </c>
      <c r="R40" s="58" t="s">
        <v>1163</v>
      </c>
      <c r="S40" s="58" t="s">
        <v>1163</v>
      </c>
      <c r="T40" s="58" t="s">
        <v>1</v>
      </c>
      <c r="U40" s="58" t="s">
        <v>138</v>
      </c>
      <c r="V40" s="58" t="s">
        <v>1</v>
      </c>
      <c r="W40" s="58" t="s">
        <v>149</v>
      </c>
      <c r="X40" s="32" t="s">
        <v>1163</v>
      </c>
      <c r="Y40" s="32" t="s">
        <v>1163</v>
      </c>
    </row>
    <row r="41" spans="1:25" s="18" customFormat="1" x14ac:dyDescent="0.3">
      <c r="A41" s="11" t="s">
        <v>1286</v>
      </c>
      <c r="B41" s="12">
        <v>1140</v>
      </c>
      <c r="C41" s="13" t="s">
        <v>564</v>
      </c>
      <c r="D41" s="13" t="s">
        <v>565</v>
      </c>
      <c r="E41" s="8" t="s">
        <v>566</v>
      </c>
      <c r="F41" s="14">
        <v>45805</v>
      </c>
      <c r="G41" s="8" t="s">
        <v>177</v>
      </c>
      <c r="H41" s="8" t="s">
        <v>567</v>
      </c>
      <c r="I41" s="8" t="s">
        <v>51</v>
      </c>
      <c r="J41" s="8" t="s">
        <v>410</v>
      </c>
      <c r="K41" s="16" t="s">
        <v>57</v>
      </c>
      <c r="L41" s="58" t="s">
        <v>2</v>
      </c>
      <c r="M41" s="58" t="s">
        <v>137</v>
      </c>
      <c r="N41" s="58" t="s">
        <v>2</v>
      </c>
      <c r="O41" s="58" t="s">
        <v>137</v>
      </c>
      <c r="P41" s="58" t="s">
        <v>2</v>
      </c>
      <c r="Q41" s="58" t="s">
        <v>137</v>
      </c>
      <c r="R41" s="58" t="s">
        <v>2</v>
      </c>
      <c r="S41" s="58" t="s">
        <v>137</v>
      </c>
      <c r="T41" s="58" t="s">
        <v>3</v>
      </c>
      <c r="U41" s="58" t="s">
        <v>137</v>
      </c>
      <c r="V41" s="58" t="s">
        <v>1163</v>
      </c>
      <c r="W41" s="58" t="s">
        <v>1163</v>
      </c>
      <c r="X41" s="32" t="s">
        <v>1163</v>
      </c>
      <c r="Y41" s="32" t="s">
        <v>1163</v>
      </c>
    </row>
    <row r="42" spans="1:25" s="18" customFormat="1" x14ac:dyDescent="0.3">
      <c r="A42" s="11" t="s">
        <v>1286</v>
      </c>
      <c r="B42" s="12">
        <v>511</v>
      </c>
      <c r="C42" s="23" t="s">
        <v>205</v>
      </c>
      <c r="D42" s="23" t="s">
        <v>206</v>
      </c>
      <c r="E42" s="22" t="s">
        <v>207</v>
      </c>
      <c r="F42" s="24">
        <v>44424</v>
      </c>
      <c r="G42" s="22" t="s">
        <v>177</v>
      </c>
      <c r="H42" s="22" t="s">
        <v>208</v>
      </c>
      <c r="I42" s="22" t="s">
        <v>51</v>
      </c>
      <c r="J42" s="22" t="s">
        <v>90</v>
      </c>
      <c r="K42" s="16" t="s">
        <v>52</v>
      </c>
      <c r="L42" s="58" t="s">
        <v>3</v>
      </c>
      <c r="M42" s="58" t="s">
        <v>137</v>
      </c>
      <c r="N42" s="58" t="s">
        <v>3</v>
      </c>
      <c r="O42" s="58" t="s">
        <v>137</v>
      </c>
      <c r="P42" s="58" t="s">
        <v>3</v>
      </c>
      <c r="Q42" s="58" t="s">
        <v>137</v>
      </c>
      <c r="R42" s="58" t="s">
        <v>3</v>
      </c>
      <c r="S42" s="58" t="s">
        <v>137</v>
      </c>
      <c r="T42" s="58" t="s">
        <v>3</v>
      </c>
      <c r="U42" s="58" t="s">
        <v>137</v>
      </c>
      <c r="V42" s="32" t="s">
        <v>1163</v>
      </c>
      <c r="W42" s="32" t="s">
        <v>1163</v>
      </c>
      <c r="X42" s="32" t="s">
        <v>1163</v>
      </c>
      <c r="Y42" s="32" t="s">
        <v>1163</v>
      </c>
    </row>
    <row r="43" spans="1:25" s="18" customFormat="1" x14ac:dyDescent="0.3">
      <c r="A43" s="11" t="s">
        <v>1286</v>
      </c>
      <c r="B43" s="12">
        <v>906</v>
      </c>
      <c r="C43" s="13" t="s">
        <v>209</v>
      </c>
      <c r="D43" s="13" t="s">
        <v>155</v>
      </c>
      <c r="E43" s="8" t="s">
        <v>210</v>
      </c>
      <c r="F43" s="14">
        <v>45294</v>
      </c>
      <c r="G43" s="8" t="s">
        <v>177</v>
      </c>
      <c r="H43" s="8" t="s">
        <v>211</v>
      </c>
      <c r="I43" s="8" t="s">
        <v>51</v>
      </c>
      <c r="J43" s="8" t="s">
        <v>473</v>
      </c>
      <c r="K43" s="16" t="s">
        <v>142</v>
      </c>
      <c r="L43" s="58" t="s">
        <v>2</v>
      </c>
      <c r="M43" s="58" t="s">
        <v>137</v>
      </c>
      <c r="N43" s="58" t="s">
        <v>2</v>
      </c>
      <c r="O43" s="58" t="s">
        <v>137</v>
      </c>
      <c r="P43" s="58" t="s">
        <v>1163</v>
      </c>
      <c r="Q43" s="58" t="s">
        <v>1163</v>
      </c>
      <c r="R43" s="58" t="s">
        <v>1</v>
      </c>
      <c r="S43" s="58" t="s">
        <v>138</v>
      </c>
      <c r="T43" s="58" t="s">
        <v>1</v>
      </c>
      <c r="U43" s="58" t="s">
        <v>138</v>
      </c>
      <c r="V43" s="58" t="s">
        <v>1</v>
      </c>
      <c r="W43" s="58" t="s">
        <v>149</v>
      </c>
      <c r="X43" s="32" t="s">
        <v>1163</v>
      </c>
      <c r="Y43" s="32" t="s">
        <v>1163</v>
      </c>
    </row>
    <row r="44" spans="1:25" s="18" customFormat="1" x14ac:dyDescent="0.3">
      <c r="A44" s="11" t="s">
        <v>1286</v>
      </c>
      <c r="B44" s="12">
        <v>508</v>
      </c>
      <c r="C44" s="23" t="s">
        <v>220</v>
      </c>
      <c r="D44" s="23" t="s">
        <v>202</v>
      </c>
      <c r="E44" s="22" t="s">
        <v>221</v>
      </c>
      <c r="F44" s="24">
        <v>44424</v>
      </c>
      <c r="G44" s="22" t="s">
        <v>177</v>
      </c>
      <c r="H44" s="22" t="s">
        <v>222</v>
      </c>
      <c r="I44" s="22" t="s">
        <v>6</v>
      </c>
      <c r="J44" s="22" t="s">
        <v>223</v>
      </c>
      <c r="K44" s="16" t="s">
        <v>96</v>
      </c>
      <c r="L44" s="58" t="s">
        <v>1</v>
      </c>
      <c r="M44" s="58" t="s">
        <v>164</v>
      </c>
      <c r="N44" s="58" t="s">
        <v>2</v>
      </c>
      <c r="O44" s="58" t="s">
        <v>137</v>
      </c>
      <c r="P44" s="58" t="s">
        <v>2</v>
      </c>
      <c r="Q44" s="58" t="s">
        <v>137</v>
      </c>
      <c r="R44" s="58" t="s">
        <v>2</v>
      </c>
      <c r="S44" s="58" t="s">
        <v>137</v>
      </c>
      <c r="T44" s="58" t="s">
        <v>2</v>
      </c>
      <c r="U44" s="58" t="s">
        <v>137</v>
      </c>
      <c r="V44" s="58" t="s">
        <v>1163</v>
      </c>
      <c r="W44" s="58" t="s">
        <v>1163</v>
      </c>
      <c r="X44" s="32" t="s">
        <v>1163</v>
      </c>
      <c r="Y44" s="32" t="s">
        <v>1163</v>
      </c>
    </row>
    <row r="45" spans="1:25" s="18" customFormat="1" x14ac:dyDescent="0.3">
      <c r="A45" s="11" t="s">
        <v>1286</v>
      </c>
      <c r="B45" s="12"/>
      <c r="C45" s="13" t="s">
        <v>914</v>
      </c>
      <c r="D45" s="13" t="s">
        <v>915</v>
      </c>
      <c r="E45" s="8" t="s">
        <v>935</v>
      </c>
      <c r="F45" s="14">
        <v>46013</v>
      </c>
      <c r="G45" s="8" t="s">
        <v>177</v>
      </c>
      <c r="H45" s="8" t="s">
        <v>925</v>
      </c>
      <c r="I45" s="8" t="s">
        <v>51</v>
      </c>
      <c r="J45" s="8" t="s">
        <v>365</v>
      </c>
      <c r="K45" s="16" t="s">
        <v>142</v>
      </c>
      <c r="L45" s="58" t="s">
        <v>1163</v>
      </c>
      <c r="M45" s="58" t="s">
        <v>1163</v>
      </c>
      <c r="N45" s="58" t="s">
        <v>1163</v>
      </c>
      <c r="O45" s="58" t="s">
        <v>1163</v>
      </c>
      <c r="P45" s="58" t="s">
        <v>1163</v>
      </c>
      <c r="Q45" s="58" t="s">
        <v>1163</v>
      </c>
      <c r="R45" s="58" t="s">
        <v>1163</v>
      </c>
      <c r="S45" s="58" t="s">
        <v>1163</v>
      </c>
      <c r="T45" s="58" t="s">
        <v>2</v>
      </c>
      <c r="U45" s="58" t="s">
        <v>137</v>
      </c>
      <c r="V45" s="58" t="s">
        <v>1</v>
      </c>
      <c r="W45" s="58" t="s">
        <v>149</v>
      </c>
      <c r="X45" s="32" t="s">
        <v>1163</v>
      </c>
      <c r="Y45" s="32" t="s">
        <v>1163</v>
      </c>
    </row>
    <row r="46" spans="1:25" s="18" customFormat="1" x14ac:dyDescent="0.3">
      <c r="A46" s="11" t="s">
        <v>1286</v>
      </c>
      <c r="B46" s="12"/>
      <c r="C46" s="13" t="s">
        <v>794</v>
      </c>
      <c r="D46" s="13" t="s">
        <v>923</v>
      </c>
      <c r="E46" s="8" t="s">
        <v>939</v>
      </c>
      <c r="F46" s="14">
        <v>46013</v>
      </c>
      <c r="G46" s="8" t="s">
        <v>177</v>
      </c>
      <c r="H46" s="8" t="s">
        <v>929</v>
      </c>
      <c r="I46" s="28" t="s">
        <v>7</v>
      </c>
      <c r="J46" s="8" t="s">
        <v>924</v>
      </c>
      <c r="K46" s="16" t="s">
        <v>63</v>
      </c>
      <c r="L46" s="58" t="s">
        <v>1</v>
      </c>
      <c r="M46" s="58" t="s">
        <v>138</v>
      </c>
      <c r="N46" s="58" t="s">
        <v>1</v>
      </c>
      <c r="O46" s="58" t="s">
        <v>138</v>
      </c>
      <c r="P46" s="58" t="s">
        <v>2</v>
      </c>
      <c r="Q46" s="58" t="s">
        <v>137</v>
      </c>
      <c r="R46" s="58" t="s">
        <v>1</v>
      </c>
      <c r="S46" s="58" t="s">
        <v>138</v>
      </c>
      <c r="T46" s="58" t="s">
        <v>1163</v>
      </c>
      <c r="U46" s="58" t="s">
        <v>1163</v>
      </c>
      <c r="V46" s="58" t="s">
        <v>1</v>
      </c>
      <c r="W46" s="58" t="s">
        <v>149</v>
      </c>
      <c r="X46" s="61" t="s">
        <v>1163</v>
      </c>
      <c r="Y46" s="61" t="s">
        <v>1163</v>
      </c>
    </row>
    <row r="47" spans="1:25" s="18" customFormat="1" x14ac:dyDescent="0.3">
      <c r="A47" s="11" t="s">
        <v>1286</v>
      </c>
      <c r="B47" s="12">
        <v>907</v>
      </c>
      <c r="C47" s="23" t="s">
        <v>114</v>
      </c>
      <c r="D47" s="23" t="s">
        <v>232</v>
      </c>
      <c r="E47" s="22" t="s">
        <v>233</v>
      </c>
      <c r="F47" s="24">
        <v>45299</v>
      </c>
      <c r="G47" s="22" t="s">
        <v>177</v>
      </c>
      <c r="H47" s="22" t="s">
        <v>234</v>
      </c>
      <c r="I47" s="22" t="s">
        <v>51</v>
      </c>
      <c r="J47" s="22" t="s">
        <v>869</v>
      </c>
      <c r="K47" s="16" t="s">
        <v>52</v>
      </c>
      <c r="L47" s="58" t="s">
        <v>1</v>
      </c>
      <c r="M47" s="58" t="s">
        <v>138</v>
      </c>
      <c r="N47" s="58" t="s">
        <v>1</v>
      </c>
      <c r="O47" s="58" t="s">
        <v>138</v>
      </c>
      <c r="P47" s="58" t="s">
        <v>1</v>
      </c>
      <c r="Q47" s="58" t="s">
        <v>138</v>
      </c>
      <c r="R47" s="58" t="s">
        <v>1</v>
      </c>
      <c r="S47" s="58" t="s">
        <v>138</v>
      </c>
      <c r="T47" s="58" t="s">
        <v>1</v>
      </c>
      <c r="U47" s="58" t="s">
        <v>164</v>
      </c>
      <c r="V47" s="58" t="s">
        <v>1163</v>
      </c>
      <c r="W47" s="58" t="s">
        <v>1163</v>
      </c>
      <c r="X47" s="59" t="s">
        <v>1163</v>
      </c>
      <c r="Y47" s="59" t="s">
        <v>1163</v>
      </c>
    </row>
    <row r="48" spans="1:25" s="18" customFormat="1" x14ac:dyDescent="0.3">
      <c r="A48" s="11" t="s">
        <v>1286</v>
      </c>
      <c r="B48" s="12">
        <v>1255</v>
      </c>
      <c r="C48" s="13" t="s">
        <v>114</v>
      </c>
      <c r="D48" s="13" t="s">
        <v>715</v>
      </c>
      <c r="E48" s="8" t="s">
        <v>716</v>
      </c>
      <c r="F48" s="14">
        <v>45895</v>
      </c>
      <c r="G48" s="8" t="s">
        <v>177</v>
      </c>
      <c r="H48" s="8" t="s">
        <v>717</v>
      </c>
      <c r="I48" s="28" t="s">
        <v>7</v>
      </c>
      <c r="J48" s="8" t="s">
        <v>987</v>
      </c>
      <c r="K48" s="16" t="s">
        <v>63</v>
      </c>
      <c r="L48" s="58" t="s">
        <v>1</v>
      </c>
      <c r="M48" s="58" t="s">
        <v>138</v>
      </c>
      <c r="N48" s="58" t="s">
        <v>2</v>
      </c>
      <c r="O48" s="58" t="s">
        <v>137</v>
      </c>
      <c r="P48" s="58" t="s">
        <v>1</v>
      </c>
      <c r="Q48" s="58" t="s">
        <v>138</v>
      </c>
      <c r="R48" s="58" t="s">
        <v>1</v>
      </c>
      <c r="S48" s="58" t="s">
        <v>138</v>
      </c>
      <c r="T48" s="58" t="s">
        <v>1163</v>
      </c>
      <c r="U48" s="58" t="s">
        <v>1163</v>
      </c>
      <c r="V48" s="58" t="s">
        <v>1</v>
      </c>
      <c r="W48" s="58" t="s">
        <v>149</v>
      </c>
      <c r="X48" s="59" t="s">
        <v>1163</v>
      </c>
      <c r="Y48" s="59" t="s">
        <v>1163</v>
      </c>
    </row>
    <row r="49" spans="1:25" s="18" customFormat="1" x14ac:dyDescent="0.3">
      <c r="A49" s="11" t="s">
        <v>1286</v>
      </c>
      <c r="B49" s="12">
        <v>1224</v>
      </c>
      <c r="C49" s="23" t="s">
        <v>670</v>
      </c>
      <c r="D49" s="23" t="s">
        <v>671</v>
      </c>
      <c r="E49" s="22" t="s">
        <v>871</v>
      </c>
      <c r="F49" s="24">
        <v>45839</v>
      </c>
      <c r="G49" s="22" t="s">
        <v>177</v>
      </c>
      <c r="H49" s="22" t="s">
        <v>672</v>
      </c>
      <c r="I49" s="22" t="s">
        <v>6</v>
      </c>
      <c r="J49" s="22" t="s">
        <v>673</v>
      </c>
      <c r="K49" s="16" t="s">
        <v>96</v>
      </c>
      <c r="L49" s="58" t="s">
        <v>1</v>
      </c>
      <c r="M49" s="58" t="s">
        <v>138</v>
      </c>
      <c r="N49" s="58" t="s">
        <v>1</v>
      </c>
      <c r="O49" s="58" t="s">
        <v>138</v>
      </c>
      <c r="P49" s="58" t="s">
        <v>2</v>
      </c>
      <c r="Q49" s="58" t="s">
        <v>137</v>
      </c>
      <c r="R49" s="58" t="s">
        <v>1163</v>
      </c>
      <c r="S49" s="58" t="s">
        <v>1163</v>
      </c>
      <c r="T49" s="58" t="s">
        <v>2</v>
      </c>
      <c r="U49" s="58" t="s">
        <v>137</v>
      </c>
      <c r="V49" s="58" t="s">
        <v>1</v>
      </c>
      <c r="W49" s="58" t="s">
        <v>149</v>
      </c>
      <c r="X49" s="59" t="s">
        <v>1163</v>
      </c>
      <c r="Y49" s="59" t="s">
        <v>1163</v>
      </c>
    </row>
    <row r="50" spans="1:25" s="18" customFormat="1" x14ac:dyDescent="0.3">
      <c r="A50" s="11" t="s">
        <v>1286</v>
      </c>
      <c r="B50" s="12">
        <v>1225</v>
      </c>
      <c r="C50" s="23" t="s">
        <v>674</v>
      </c>
      <c r="D50" s="23" t="s">
        <v>675</v>
      </c>
      <c r="E50" s="22" t="s">
        <v>676</v>
      </c>
      <c r="F50" s="24">
        <v>45839</v>
      </c>
      <c r="G50" s="22" t="s">
        <v>177</v>
      </c>
      <c r="H50" s="22" t="s">
        <v>677</v>
      </c>
      <c r="I50" s="22" t="s">
        <v>6</v>
      </c>
      <c r="J50" s="22" t="s">
        <v>159</v>
      </c>
      <c r="K50" s="16" t="s">
        <v>62</v>
      </c>
      <c r="L50" s="58" t="s">
        <v>1</v>
      </c>
      <c r="M50" s="58" t="s">
        <v>138</v>
      </c>
      <c r="N50" s="58" t="s">
        <v>1</v>
      </c>
      <c r="O50" s="58" t="s">
        <v>138</v>
      </c>
      <c r="P50" s="58" t="s">
        <v>1</v>
      </c>
      <c r="Q50" s="58" t="s">
        <v>138</v>
      </c>
      <c r="R50" s="58" t="s">
        <v>1163</v>
      </c>
      <c r="S50" s="58" t="s">
        <v>1163</v>
      </c>
      <c r="T50" s="58" t="s">
        <v>1</v>
      </c>
      <c r="U50" s="58" t="s">
        <v>138</v>
      </c>
      <c r="V50" s="58" t="s">
        <v>1</v>
      </c>
      <c r="W50" s="58" t="s">
        <v>149</v>
      </c>
      <c r="X50" s="59" t="s">
        <v>1163</v>
      </c>
      <c r="Y50" s="59" t="s">
        <v>1163</v>
      </c>
    </row>
    <row r="51" spans="1:25" s="18" customFormat="1" x14ac:dyDescent="0.3">
      <c r="A51" s="11" t="s">
        <v>1286</v>
      </c>
      <c r="B51" s="12">
        <v>599</v>
      </c>
      <c r="C51" s="13" t="s">
        <v>87</v>
      </c>
      <c r="D51" s="13" t="s">
        <v>244</v>
      </c>
      <c r="E51" s="8" t="s">
        <v>245</v>
      </c>
      <c r="F51" s="14">
        <v>44522</v>
      </c>
      <c r="G51" s="8" t="s">
        <v>177</v>
      </c>
      <c r="H51" s="8" t="s">
        <v>246</v>
      </c>
      <c r="I51" s="8" t="s">
        <v>6</v>
      </c>
      <c r="J51" s="8" t="s">
        <v>113</v>
      </c>
      <c r="K51" s="16" t="s">
        <v>62</v>
      </c>
      <c r="L51" s="58" t="s">
        <v>1163</v>
      </c>
      <c r="M51" s="58" t="s">
        <v>1163</v>
      </c>
      <c r="N51" s="58" t="s">
        <v>1163</v>
      </c>
      <c r="O51" s="58" t="s">
        <v>1163</v>
      </c>
      <c r="P51" s="58" t="s">
        <v>1163</v>
      </c>
      <c r="Q51" s="58" t="s">
        <v>1163</v>
      </c>
      <c r="R51" s="58" t="s">
        <v>1163</v>
      </c>
      <c r="S51" s="58" t="s">
        <v>1163</v>
      </c>
      <c r="T51" s="58" t="s">
        <v>1163</v>
      </c>
      <c r="U51" s="58" t="s">
        <v>1163</v>
      </c>
      <c r="V51" s="58" t="s">
        <v>1163</v>
      </c>
      <c r="W51" s="58" t="s">
        <v>1163</v>
      </c>
      <c r="X51" s="59" t="s">
        <v>1163</v>
      </c>
      <c r="Y51" s="59" t="s">
        <v>1163</v>
      </c>
    </row>
    <row r="52" spans="1:25" s="18" customFormat="1" x14ac:dyDescent="0.3">
      <c r="A52" s="11" t="s">
        <v>1286</v>
      </c>
      <c r="B52" s="12">
        <v>936</v>
      </c>
      <c r="C52" s="23" t="s">
        <v>412</v>
      </c>
      <c r="D52" s="23" t="s">
        <v>172</v>
      </c>
      <c r="E52" s="22" t="s">
        <v>413</v>
      </c>
      <c r="F52" s="24">
        <v>45357</v>
      </c>
      <c r="G52" s="22" t="s">
        <v>177</v>
      </c>
      <c r="H52" s="22" t="s">
        <v>414</v>
      </c>
      <c r="I52" s="22" t="s">
        <v>5</v>
      </c>
      <c r="J52" s="22" t="s">
        <v>415</v>
      </c>
      <c r="K52" s="16" t="s">
        <v>50</v>
      </c>
      <c r="L52" s="58" t="s">
        <v>1163</v>
      </c>
      <c r="M52" s="58" t="s">
        <v>1163</v>
      </c>
      <c r="N52" s="58" t="s">
        <v>1163</v>
      </c>
      <c r="O52" s="58" t="s">
        <v>1163</v>
      </c>
      <c r="P52" s="58" t="s">
        <v>1163</v>
      </c>
      <c r="Q52" s="58" t="s">
        <v>1163</v>
      </c>
      <c r="R52" s="58" t="s">
        <v>1163</v>
      </c>
      <c r="S52" s="58" t="s">
        <v>1163</v>
      </c>
      <c r="T52" s="58" t="s">
        <v>1163</v>
      </c>
      <c r="U52" s="58" t="s">
        <v>1163</v>
      </c>
      <c r="V52" s="58" t="s">
        <v>1163</v>
      </c>
      <c r="W52" s="58" t="s">
        <v>1163</v>
      </c>
      <c r="X52" s="59" t="s">
        <v>1163</v>
      </c>
      <c r="Y52" s="59" t="s">
        <v>1163</v>
      </c>
    </row>
    <row r="53" spans="1:25" s="18" customFormat="1" x14ac:dyDescent="0.3">
      <c r="A53" s="11" t="s">
        <v>1286</v>
      </c>
      <c r="B53" s="12">
        <v>1102</v>
      </c>
      <c r="C53" s="13" t="s">
        <v>542</v>
      </c>
      <c r="D53" s="13" t="s">
        <v>485</v>
      </c>
      <c r="E53" s="8" t="s">
        <v>543</v>
      </c>
      <c r="F53" s="14">
        <v>45719</v>
      </c>
      <c r="G53" s="8" t="s">
        <v>177</v>
      </c>
      <c r="H53" s="8" t="s">
        <v>486</v>
      </c>
      <c r="I53" s="22" t="s">
        <v>6</v>
      </c>
      <c r="J53" s="8" t="s">
        <v>487</v>
      </c>
      <c r="K53" s="16" t="s">
        <v>62</v>
      </c>
      <c r="L53" s="58" t="s">
        <v>2</v>
      </c>
      <c r="M53" s="58" t="s">
        <v>137</v>
      </c>
      <c r="N53" s="58" t="s">
        <v>2</v>
      </c>
      <c r="O53" s="58" t="s">
        <v>137</v>
      </c>
      <c r="P53" s="58" t="s">
        <v>2</v>
      </c>
      <c r="Q53" s="58" t="s">
        <v>137</v>
      </c>
      <c r="R53" s="58" t="s">
        <v>2</v>
      </c>
      <c r="S53" s="58" t="s">
        <v>137</v>
      </c>
      <c r="T53" s="58" t="s">
        <v>1163</v>
      </c>
      <c r="U53" s="58" t="s">
        <v>1163</v>
      </c>
      <c r="V53" s="58" t="s">
        <v>1</v>
      </c>
      <c r="W53" s="58" t="s">
        <v>149</v>
      </c>
      <c r="X53" s="59" t="s">
        <v>1163</v>
      </c>
      <c r="Y53" s="59" t="s">
        <v>1163</v>
      </c>
    </row>
    <row r="54" spans="1:25" s="18" customFormat="1" x14ac:dyDescent="0.3">
      <c r="A54" s="11" t="s">
        <v>1286</v>
      </c>
      <c r="B54" s="12">
        <v>1100</v>
      </c>
      <c r="C54" s="13" t="s">
        <v>259</v>
      </c>
      <c r="D54" s="13" t="s">
        <v>482</v>
      </c>
      <c r="E54" s="8" t="s">
        <v>541</v>
      </c>
      <c r="F54" s="14">
        <v>45719</v>
      </c>
      <c r="G54" s="8" t="s">
        <v>177</v>
      </c>
      <c r="H54" s="8" t="s">
        <v>483</v>
      </c>
      <c r="I54" s="28" t="s">
        <v>7</v>
      </c>
      <c r="J54" s="8" t="s">
        <v>903</v>
      </c>
      <c r="K54" s="16" t="s">
        <v>63</v>
      </c>
      <c r="L54" s="58" t="s">
        <v>1</v>
      </c>
      <c r="M54" s="58" t="s">
        <v>138</v>
      </c>
      <c r="N54" s="58" t="s">
        <v>1</v>
      </c>
      <c r="O54" s="58" t="s">
        <v>138</v>
      </c>
      <c r="P54" s="58" t="s">
        <v>1163</v>
      </c>
      <c r="Q54" s="58" t="s">
        <v>1163</v>
      </c>
      <c r="R54" s="58" t="s">
        <v>1</v>
      </c>
      <c r="S54" s="58" t="s">
        <v>138</v>
      </c>
      <c r="T54" s="58" t="s">
        <v>2</v>
      </c>
      <c r="U54" s="58" t="s">
        <v>137</v>
      </c>
      <c r="V54" s="58" t="s">
        <v>1</v>
      </c>
      <c r="W54" s="58" t="s">
        <v>149</v>
      </c>
      <c r="X54" s="59" t="s">
        <v>1163</v>
      </c>
      <c r="Y54" s="59" t="s">
        <v>1163</v>
      </c>
    </row>
    <row r="55" spans="1:25" s="18" customFormat="1" x14ac:dyDescent="0.3">
      <c r="A55" s="11" t="s">
        <v>1286</v>
      </c>
      <c r="B55" s="12">
        <v>904</v>
      </c>
      <c r="C55" s="23" t="s">
        <v>259</v>
      </c>
      <c r="D55" s="23" t="s">
        <v>260</v>
      </c>
      <c r="E55" s="22" t="s">
        <v>261</v>
      </c>
      <c r="F55" s="24">
        <v>45294</v>
      </c>
      <c r="G55" s="22" t="s">
        <v>177</v>
      </c>
      <c r="H55" s="22" t="s">
        <v>262</v>
      </c>
      <c r="I55" s="8" t="s">
        <v>51</v>
      </c>
      <c r="J55" s="8" t="s">
        <v>365</v>
      </c>
      <c r="K55" s="16" t="s">
        <v>142</v>
      </c>
      <c r="L55" s="58" t="s">
        <v>2</v>
      </c>
      <c r="M55" s="58" t="s">
        <v>137</v>
      </c>
      <c r="N55" s="58" t="s">
        <v>2</v>
      </c>
      <c r="O55" s="58" t="s">
        <v>137</v>
      </c>
      <c r="P55" s="59" t="s">
        <v>1163</v>
      </c>
      <c r="Q55" s="59" t="s">
        <v>1163</v>
      </c>
      <c r="R55" s="58" t="s">
        <v>3</v>
      </c>
      <c r="S55" s="58" t="s">
        <v>137</v>
      </c>
      <c r="T55" s="58" t="s">
        <v>3</v>
      </c>
      <c r="U55" s="58" t="s">
        <v>137</v>
      </c>
      <c r="V55" s="58" t="s">
        <v>1</v>
      </c>
      <c r="W55" s="58" t="s">
        <v>149</v>
      </c>
      <c r="X55" s="59" t="s">
        <v>1163</v>
      </c>
      <c r="Y55" s="59" t="s">
        <v>1163</v>
      </c>
    </row>
    <row r="56" spans="1:25" s="18" customFormat="1" x14ac:dyDescent="0.3">
      <c r="A56" s="11" t="s">
        <v>1286</v>
      </c>
      <c r="B56" s="12">
        <v>1380</v>
      </c>
      <c r="C56" s="13" t="s">
        <v>259</v>
      </c>
      <c r="D56" s="13" t="s">
        <v>863</v>
      </c>
      <c r="E56" s="8" t="s">
        <v>874</v>
      </c>
      <c r="F56" s="14">
        <v>45978</v>
      </c>
      <c r="G56" s="8" t="s">
        <v>177</v>
      </c>
      <c r="H56" s="8" t="s">
        <v>867</v>
      </c>
      <c r="I56" s="22" t="s">
        <v>51</v>
      </c>
      <c r="J56" s="8" t="s">
        <v>663</v>
      </c>
      <c r="K56" s="16" t="s">
        <v>52</v>
      </c>
      <c r="L56" s="58" t="s">
        <v>2</v>
      </c>
      <c r="M56" s="58" t="s">
        <v>137</v>
      </c>
      <c r="N56" s="58" t="s">
        <v>2</v>
      </c>
      <c r="O56" s="58" t="s">
        <v>137</v>
      </c>
      <c r="P56" s="58" t="s">
        <v>2</v>
      </c>
      <c r="Q56" s="58" t="s">
        <v>137</v>
      </c>
      <c r="R56" s="58" t="s">
        <v>1163</v>
      </c>
      <c r="S56" s="58" t="s">
        <v>1163</v>
      </c>
      <c r="T56" s="58" t="s">
        <v>2</v>
      </c>
      <c r="U56" s="58" t="s">
        <v>137</v>
      </c>
      <c r="V56" s="58" t="s">
        <v>1</v>
      </c>
      <c r="W56" s="58" t="s">
        <v>149</v>
      </c>
      <c r="X56" s="61" t="s">
        <v>1163</v>
      </c>
      <c r="Y56" s="61" t="s">
        <v>1163</v>
      </c>
    </row>
    <row r="57" spans="1:25" s="18" customFormat="1" x14ac:dyDescent="0.3">
      <c r="A57" s="11" t="s">
        <v>1286</v>
      </c>
      <c r="B57" s="12">
        <v>1220</v>
      </c>
      <c r="C57" s="23" t="s">
        <v>659</v>
      </c>
      <c r="D57" s="23" t="s">
        <v>660</v>
      </c>
      <c r="E57" s="22" t="s">
        <v>661</v>
      </c>
      <c r="F57" s="24">
        <v>45838</v>
      </c>
      <c r="G57" s="22" t="s">
        <v>177</v>
      </c>
      <c r="H57" s="22" t="s">
        <v>662</v>
      </c>
      <c r="I57" s="22" t="s">
        <v>51</v>
      </c>
      <c r="J57" s="22" t="s">
        <v>266</v>
      </c>
      <c r="K57" s="16" t="s">
        <v>52</v>
      </c>
      <c r="L57" s="58" t="s">
        <v>2</v>
      </c>
      <c r="M57" s="58" t="s">
        <v>137</v>
      </c>
      <c r="N57" s="58" t="s">
        <v>2</v>
      </c>
      <c r="O57" s="58" t="s">
        <v>137</v>
      </c>
      <c r="P57" s="58" t="s">
        <v>2</v>
      </c>
      <c r="Q57" s="58" t="s">
        <v>137</v>
      </c>
      <c r="R57" s="58" t="s">
        <v>1163</v>
      </c>
      <c r="S57" s="58" t="s">
        <v>1163</v>
      </c>
      <c r="T57" s="58" t="s">
        <v>2</v>
      </c>
      <c r="U57" s="58" t="s">
        <v>137</v>
      </c>
      <c r="V57" s="58" t="s">
        <v>1</v>
      </c>
      <c r="W57" s="58" t="s">
        <v>149</v>
      </c>
      <c r="X57" s="59" t="s">
        <v>1163</v>
      </c>
      <c r="Y57" s="59" t="s">
        <v>1163</v>
      </c>
    </row>
    <row r="58" spans="1:25" s="18" customFormat="1" x14ac:dyDescent="0.3">
      <c r="A58" s="11" t="s">
        <v>1286</v>
      </c>
      <c r="B58" s="12">
        <v>870</v>
      </c>
      <c r="C58" s="13" t="s">
        <v>115</v>
      </c>
      <c r="D58" s="13" t="s">
        <v>263</v>
      </c>
      <c r="E58" s="8" t="s">
        <v>264</v>
      </c>
      <c r="F58" s="14">
        <v>45264</v>
      </c>
      <c r="G58" s="8" t="s">
        <v>177</v>
      </c>
      <c r="H58" s="8" t="s">
        <v>265</v>
      </c>
      <c r="I58" s="8" t="s">
        <v>51</v>
      </c>
      <c r="J58" s="8" t="s">
        <v>266</v>
      </c>
      <c r="K58" s="16" t="s">
        <v>52</v>
      </c>
      <c r="L58" s="58" t="s">
        <v>1</v>
      </c>
      <c r="M58" s="58" t="s">
        <v>138</v>
      </c>
      <c r="N58" s="58" t="s">
        <v>1</v>
      </c>
      <c r="O58" s="58" t="s">
        <v>138</v>
      </c>
      <c r="P58" s="58" t="s">
        <v>1163</v>
      </c>
      <c r="Q58" s="58" t="s">
        <v>1163</v>
      </c>
      <c r="R58" s="58" t="s">
        <v>1</v>
      </c>
      <c r="S58" s="58" t="s">
        <v>138</v>
      </c>
      <c r="T58" s="58" t="s">
        <v>1</v>
      </c>
      <c r="U58" s="58" t="s">
        <v>138</v>
      </c>
      <c r="V58" s="58" t="s">
        <v>1</v>
      </c>
      <c r="W58" s="58" t="s">
        <v>149</v>
      </c>
      <c r="X58" s="59" t="s">
        <v>1163</v>
      </c>
      <c r="Y58" s="59" t="s">
        <v>1163</v>
      </c>
    </row>
    <row r="59" spans="1:25" s="18" customFormat="1" x14ac:dyDescent="0.3">
      <c r="A59" s="11" t="s">
        <v>1286</v>
      </c>
      <c r="B59" s="12">
        <v>1122</v>
      </c>
      <c r="C59" s="23" t="s">
        <v>532</v>
      </c>
      <c r="D59" s="23" t="s">
        <v>533</v>
      </c>
      <c r="E59" s="22" t="s">
        <v>534</v>
      </c>
      <c r="F59" s="24">
        <v>45722</v>
      </c>
      <c r="G59" s="22" t="s">
        <v>177</v>
      </c>
      <c r="H59" s="22" t="s">
        <v>535</v>
      </c>
      <c r="I59" s="22" t="s">
        <v>59</v>
      </c>
      <c r="J59" s="22" t="s">
        <v>484</v>
      </c>
      <c r="K59" s="16" t="s">
        <v>57</v>
      </c>
      <c r="L59" s="58" t="s">
        <v>2</v>
      </c>
      <c r="M59" s="58" t="s">
        <v>137</v>
      </c>
      <c r="N59" s="58" t="s">
        <v>2</v>
      </c>
      <c r="O59" s="58" t="s">
        <v>137</v>
      </c>
      <c r="P59" s="58" t="s">
        <v>1163</v>
      </c>
      <c r="Q59" s="58" t="s">
        <v>1163</v>
      </c>
      <c r="R59" s="58" t="s">
        <v>2</v>
      </c>
      <c r="S59" s="58" t="s">
        <v>137</v>
      </c>
      <c r="T59" s="58" t="s">
        <v>1</v>
      </c>
      <c r="U59" s="58" t="s">
        <v>138</v>
      </c>
      <c r="V59" s="58" t="s">
        <v>1</v>
      </c>
      <c r="W59" s="58" t="s">
        <v>149</v>
      </c>
      <c r="X59" s="59" t="s">
        <v>1163</v>
      </c>
      <c r="Y59" s="59" t="s">
        <v>1163</v>
      </c>
    </row>
    <row r="60" spans="1:25" s="18" customFormat="1" x14ac:dyDescent="0.3">
      <c r="A60" s="11" t="s">
        <v>1286</v>
      </c>
      <c r="B60" s="12">
        <v>1054</v>
      </c>
      <c r="C60" s="13" t="s">
        <v>447</v>
      </c>
      <c r="D60" s="13" t="s">
        <v>202</v>
      </c>
      <c r="E60" s="8" t="s">
        <v>448</v>
      </c>
      <c r="F60" s="14">
        <v>45663</v>
      </c>
      <c r="G60" s="8" t="s">
        <v>177</v>
      </c>
      <c r="H60" s="8" t="s">
        <v>877</v>
      </c>
      <c r="I60" s="15" t="s">
        <v>7</v>
      </c>
      <c r="J60" s="8" t="s">
        <v>858</v>
      </c>
      <c r="K60" s="16" t="s">
        <v>63</v>
      </c>
      <c r="L60" s="58" t="s">
        <v>2</v>
      </c>
      <c r="M60" s="58" t="s">
        <v>137</v>
      </c>
      <c r="N60" s="58" t="s">
        <v>2</v>
      </c>
      <c r="O60" s="58" t="s">
        <v>137</v>
      </c>
      <c r="P60" s="58" t="s">
        <v>1</v>
      </c>
      <c r="Q60" s="58" t="s">
        <v>138</v>
      </c>
      <c r="R60" s="58" t="s">
        <v>1</v>
      </c>
      <c r="S60" s="58" t="s">
        <v>138</v>
      </c>
      <c r="T60" s="58" t="s">
        <v>1163</v>
      </c>
      <c r="U60" s="58" t="s">
        <v>1163</v>
      </c>
      <c r="V60" s="58" t="s">
        <v>1</v>
      </c>
      <c r="W60" s="58" t="s">
        <v>149</v>
      </c>
      <c r="X60" s="59" t="s">
        <v>1163</v>
      </c>
      <c r="Y60" s="59" t="s">
        <v>1163</v>
      </c>
    </row>
    <row r="61" spans="1:25" s="18" customFormat="1" x14ac:dyDescent="0.3">
      <c r="A61" s="11" t="s">
        <v>1286</v>
      </c>
      <c r="B61" s="12"/>
      <c r="C61" s="23" t="s">
        <v>930</v>
      </c>
      <c r="D61" s="23" t="s">
        <v>931</v>
      </c>
      <c r="E61" s="22" t="s">
        <v>933</v>
      </c>
      <c r="F61" s="24">
        <v>46013</v>
      </c>
      <c r="G61" s="8" t="s">
        <v>177</v>
      </c>
      <c r="H61" s="22" t="s">
        <v>932</v>
      </c>
      <c r="I61" s="22" t="s">
        <v>5</v>
      </c>
      <c r="J61" s="22" t="s">
        <v>762</v>
      </c>
      <c r="K61" s="16" t="s">
        <v>50</v>
      </c>
      <c r="L61" s="58" t="s">
        <v>2</v>
      </c>
      <c r="M61" s="58" t="s">
        <v>137</v>
      </c>
      <c r="N61" s="58" t="s">
        <v>1163</v>
      </c>
      <c r="O61" s="58" t="s">
        <v>1163</v>
      </c>
      <c r="P61" s="58" t="s">
        <v>1</v>
      </c>
      <c r="Q61" s="58" t="s">
        <v>138</v>
      </c>
      <c r="R61" s="58" t="s">
        <v>2</v>
      </c>
      <c r="S61" s="58" t="s">
        <v>137</v>
      </c>
      <c r="T61" s="58" t="s">
        <v>2</v>
      </c>
      <c r="U61" s="58" t="s">
        <v>137</v>
      </c>
      <c r="V61" s="58" t="s">
        <v>1</v>
      </c>
      <c r="W61" s="58" t="s">
        <v>149</v>
      </c>
      <c r="X61" s="61" t="s">
        <v>1163</v>
      </c>
      <c r="Y61" s="61" t="s">
        <v>1163</v>
      </c>
    </row>
    <row r="62" spans="1:25" s="18" customFormat="1" x14ac:dyDescent="0.3">
      <c r="A62" s="11" t="s">
        <v>1286</v>
      </c>
      <c r="B62" s="12">
        <v>1106</v>
      </c>
      <c r="C62" s="13" t="s">
        <v>491</v>
      </c>
      <c r="D62" s="13" t="s">
        <v>492</v>
      </c>
      <c r="E62" s="8" t="s">
        <v>493</v>
      </c>
      <c r="F62" s="14">
        <v>45719</v>
      </c>
      <c r="G62" s="8" t="s">
        <v>177</v>
      </c>
      <c r="H62" s="8" t="s">
        <v>870</v>
      </c>
      <c r="I62" s="28" t="s">
        <v>7</v>
      </c>
      <c r="J62" s="8" t="s">
        <v>1015</v>
      </c>
      <c r="K62" s="16" t="s">
        <v>63</v>
      </c>
      <c r="L62" s="58" t="s">
        <v>2</v>
      </c>
      <c r="M62" s="58" t="s">
        <v>137</v>
      </c>
      <c r="N62" s="58" t="s">
        <v>2</v>
      </c>
      <c r="O62" s="58" t="s">
        <v>137</v>
      </c>
      <c r="P62" s="58" t="s">
        <v>1163</v>
      </c>
      <c r="Q62" s="58" t="s">
        <v>1163</v>
      </c>
      <c r="R62" s="58" t="s">
        <v>2</v>
      </c>
      <c r="S62" s="58" t="s">
        <v>137</v>
      </c>
      <c r="T62" s="58" t="s">
        <v>1</v>
      </c>
      <c r="U62" s="58" t="s">
        <v>138</v>
      </c>
      <c r="V62" s="58" t="s">
        <v>1</v>
      </c>
      <c r="W62" s="58" t="s">
        <v>149</v>
      </c>
      <c r="X62" s="32" t="s">
        <v>1163</v>
      </c>
      <c r="Y62" s="32" t="s">
        <v>1163</v>
      </c>
    </row>
    <row r="63" spans="1:25" s="18" customFormat="1" x14ac:dyDescent="0.3">
      <c r="A63" s="11" t="s">
        <v>1286</v>
      </c>
      <c r="B63" s="12">
        <v>868</v>
      </c>
      <c r="C63" s="23" t="s">
        <v>287</v>
      </c>
      <c r="D63" s="23" t="s">
        <v>288</v>
      </c>
      <c r="E63" s="22" t="s">
        <v>289</v>
      </c>
      <c r="F63" s="24">
        <v>45264</v>
      </c>
      <c r="G63" s="22" t="s">
        <v>177</v>
      </c>
      <c r="H63" s="22" t="s">
        <v>290</v>
      </c>
      <c r="I63" s="8" t="s">
        <v>6</v>
      </c>
      <c r="J63" s="22" t="s">
        <v>291</v>
      </c>
      <c r="K63" s="16" t="s">
        <v>96</v>
      </c>
      <c r="L63" s="58" t="s">
        <v>2</v>
      </c>
      <c r="M63" s="58" t="s">
        <v>137</v>
      </c>
      <c r="N63" s="58" t="s">
        <v>1163</v>
      </c>
      <c r="O63" s="58" t="s">
        <v>1163</v>
      </c>
      <c r="P63" s="58" t="s">
        <v>1</v>
      </c>
      <c r="Q63" s="58" t="s">
        <v>138</v>
      </c>
      <c r="R63" s="58" t="s">
        <v>1</v>
      </c>
      <c r="S63" s="58" t="s">
        <v>138</v>
      </c>
      <c r="T63" s="58" t="s">
        <v>2</v>
      </c>
      <c r="U63" s="58" t="s">
        <v>137</v>
      </c>
      <c r="V63" s="58" t="s">
        <v>1</v>
      </c>
      <c r="W63" s="58" t="s">
        <v>149</v>
      </c>
      <c r="X63" s="32" t="s">
        <v>1163</v>
      </c>
      <c r="Y63" s="32" t="s">
        <v>1163</v>
      </c>
    </row>
    <row r="64" spans="1:25" s="18" customFormat="1" x14ac:dyDescent="0.3">
      <c r="A64" s="11" t="s">
        <v>1286</v>
      </c>
      <c r="B64" s="12">
        <v>1056</v>
      </c>
      <c r="C64" s="13" t="s">
        <v>443</v>
      </c>
      <c r="D64" s="13" t="s">
        <v>444</v>
      </c>
      <c r="E64" s="8" t="s">
        <v>445</v>
      </c>
      <c r="F64" s="14">
        <v>45663</v>
      </c>
      <c r="G64" s="8" t="s">
        <v>177</v>
      </c>
      <c r="H64" s="8" t="s">
        <v>446</v>
      </c>
      <c r="I64" s="8" t="s">
        <v>51</v>
      </c>
      <c r="J64" s="8" t="s">
        <v>869</v>
      </c>
      <c r="K64" s="16" t="s">
        <v>52</v>
      </c>
      <c r="L64" s="58" t="s">
        <v>2</v>
      </c>
      <c r="M64" s="58" t="s">
        <v>137</v>
      </c>
      <c r="N64" s="58" t="s">
        <v>2</v>
      </c>
      <c r="O64" s="58" t="s">
        <v>137</v>
      </c>
      <c r="P64" s="58" t="s">
        <v>2</v>
      </c>
      <c r="Q64" s="58" t="s">
        <v>137</v>
      </c>
      <c r="R64" s="58" t="s">
        <v>1163</v>
      </c>
      <c r="S64" s="58" t="s">
        <v>1163</v>
      </c>
      <c r="T64" s="58" t="s">
        <v>2</v>
      </c>
      <c r="U64" s="58" t="s">
        <v>137</v>
      </c>
      <c r="V64" s="58" t="s">
        <v>1</v>
      </c>
      <c r="W64" s="58" t="s">
        <v>149</v>
      </c>
      <c r="X64" s="32" t="s">
        <v>1163</v>
      </c>
      <c r="Y64" s="32" t="s">
        <v>1163</v>
      </c>
    </row>
    <row r="65" spans="1:25" s="18" customFormat="1" x14ac:dyDescent="0.3">
      <c r="A65" s="11" t="s">
        <v>1286</v>
      </c>
      <c r="B65" s="12">
        <v>1101</v>
      </c>
      <c r="C65" s="23" t="s">
        <v>494</v>
      </c>
      <c r="D65" s="23" t="s">
        <v>495</v>
      </c>
      <c r="E65" s="22" t="s">
        <v>496</v>
      </c>
      <c r="F65" s="24">
        <v>45719</v>
      </c>
      <c r="G65" s="22" t="s">
        <v>177</v>
      </c>
      <c r="H65" s="22" t="s">
        <v>497</v>
      </c>
      <c r="I65" s="28" t="s">
        <v>7</v>
      </c>
      <c r="J65" s="22" t="s">
        <v>498</v>
      </c>
      <c r="K65" s="16" t="s">
        <v>63</v>
      </c>
      <c r="L65" s="58" t="s">
        <v>1163</v>
      </c>
      <c r="M65" s="58" t="s">
        <v>1163</v>
      </c>
      <c r="N65" s="58" t="s">
        <v>1</v>
      </c>
      <c r="O65" s="58" t="s">
        <v>138</v>
      </c>
      <c r="P65" s="58" t="s">
        <v>1</v>
      </c>
      <c r="Q65" s="58" t="s">
        <v>138</v>
      </c>
      <c r="R65" s="58" t="s">
        <v>1</v>
      </c>
      <c r="S65" s="58" t="s">
        <v>138</v>
      </c>
      <c r="T65" s="58" t="s">
        <v>1</v>
      </c>
      <c r="U65" s="58" t="s">
        <v>138</v>
      </c>
      <c r="V65" s="58" t="s">
        <v>1</v>
      </c>
      <c r="W65" s="58" t="s">
        <v>149</v>
      </c>
      <c r="X65" s="32" t="s">
        <v>1163</v>
      </c>
      <c r="Y65" s="32" t="s">
        <v>1163</v>
      </c>
    </row>
    <row r="66" spans="1:25" s="18" customFormat="1" x14ac:dyDescent="0.3">
      <c r="A66" s="11" t="s">
        <v>1286</v>
      </c>
      <c r="B66" s="12">
        <v>1153</v>
      </c>
      <c r="C66" s="13" t="s">
        <v>612</v>
      </c>
      <c r="D66" s="13" t="s">
        <v>364</v>
      </c>
      <c r="E66" s="8" t="s">
        <v>613</v>
      </c>
      <c r="F66" s="14">
        <v>45805</v>
      </c>
      <c r="G66" s="8" t="s">
        <v>177</v>
      </c>
      <c r="H66" s="8" t="s">
        <v>614</v>
      </c>
      <c r="I66" s="8" t="s">
        <v>51</v>
      </c>
      <c r="J66" s="8" t="s">
        <v>615</v>
      </c>
      <c r="K66" s="16" t="s">
        <v>142</v>
      </c>
      <c r="L66" s="58" t="s">
        <v>2</v>
      </c>
      <c r="M66" s="58" t="s">
        <v>137</v>
      </c>
      <c r="N66" s="58" t="s">
        <v>2</v>
      </c>
      <c r="O66" s="58" t="s">
        <v>137</v>
      </c>
      <c r="P66" s="58" t="s">
        <v>2</v>
      </c>
      <c r="Q66" s="58" t="s">
        <v>137</v>
      </c>
      <c r="R66" s="58" t="s">
        <v>1163</v>
      </c>
      <c r="S66" s="58" t="s">
        <v>1163</v>
      </c>
      <c r="T66" s="58" t="s">
        <v>1</v>
      </c>
      <c r="U66" s="58" t="s">
        <v>138</v>
      </c>
      <c r="V66" s="58" t="s">
        <v>1</v>
      </c>
      <c r="W66" s="58" t="s">
        <v>149</v>
      </c>
      <c r="X66" s="32" t="s">
        <v>1163</v>
      </c>
      <c r="Y66" s="32" t="s">
        <v>1163</v>
      </c>
    </row>
    <row r="67" spans="1:25" s="18" customFormat="1" x14ac:dyDescent="0.3">
      <c r="A67" s="11" t="s">
        <v>1286</v>
      </c>
      <c r="B67" s="12">
        <v>546</v>
      </c>
      <c r="C67" s="23" t="s">
        <v>292</v>
      </c>
      <c r="D67" s="23" t="s">
        <v>293</v>
      </c>
      <c r="E67" s="22" t="s">
        <v>294</v>
      </c>
      <c r="F67" s="24">
        <v>44466</v>
      </c>
      <c r="G67" s="22" t="s">
        <v>177</v>
      </c>
      <c r="H67" s="22" t="s">
        <v>295</v>
      </c>
      <c r="I67" s="22" t="s">
        <v>5</v>
      </c>
      <c r="J67" s="22" t="s">
        <v>296</v>
      </c>
      <c r="K67" s="11" t="s">
        <v>39</v>
      </c>
      <c r="L67" s="58" t="s">
        <v>2</v>
      </c>
      <c r="M67" s="58" t="s">
        <v>137</v>
      </c>
      <c r="N67" s="58" t="s">
        <v>2</v>
      </c>
      <c r="O67" s="58" t="s">
        <v>137</v>
      </c>
      <c r="P67" s="58" t="s">
        <v>2</v>
      </c>
      <c r="Q67" s="58" t="s">
        <v>137</v>
      </c>
      <c r="R67" s="58" t="s">
        <v>2</v>
      </c>
      <c r="S67" s="58" t="s">
        <v>137</v>
      </c>
      <c r="T67" s="58" t="s">
        <v>3</v>
      </c>
      <c r="U67" s="58" t="s">
        <v>137</v>
      </c>
      <c r="V67" s="58" t="s">
        <v>1163</v>
      </c>
      <c r="W67" s="58" t="s">
        <v>1163</v>
      </c>
      <c r="X67" s="32" t="s">
        <v>1163</v>
      </c>
      <c r="Y67" s="32" t="s">
        <v>1163</v>
      </c>
    </row>
    <row r="68" spans="1:25" s="18" customFormat="1" x14ac:dyDescent="0.3">
      <c r="A68" s="11" t="s">
        <v>1286</v>
      </c>
      <c r="B68" s="12">
        <v>608</v>
      </c>
      <c r="C68" s="23" t="s">
        <v>297</v>
      </c>
      <c r="D68" s="23" t="s">
        <v>253</v>
      </c>
      <c r="E68" s="22" t="s">
        <v>298</v>
      </c>
      <c r="F68" s="24">
        <v>44522</v>
      </c>
      <c r="G68" s="22" t="s">
        <v>177</v>
      </c>
      <c r="H68" s="22" t="s">
        <v>299</v>
      </c>
      <c r="I68" s="22" t="s">
        <v>5</v>
      </c>
      <c r="J68" s="22" t="s">
        <v>76</v>
      </c>
      <c r="K68" s="16" t="s">
        <v>39</v>
      </c>
      <c r="L68" s="58" t="s">
        <v>1163</v>
      </c>
      <c r="M68" s="58" t="s">
        <v>1163</v>
      </c>
      <c r="N68" s="58" t="s">
        <v>1163</v>
      </c>
      <c r="O68" s="58" t="s">
        <v>1163</v>
      </c>
      <c r="P68" s="58" t="s">
        <v>1163</v>
      </c>
      <c r="Q68" s="58" t="s">
        <v>1163</v>
      </c>
      <c r="R68" s="58" t="s">
        <v>1163</v>
      </c>
      <c r="S68" s="58" t="s">
        <v>1163</v>
      </c>
      <c r="T68" s="58" t="s">
        <v>1163</v>
      </c>
      <c r="U68" s="58" t="s">
        <v>1163</v>
      </c>
      <c r="V68" s="58" t="s">
        <v>1163</v>
      </c>
      <c r="W68" s="58" t="s">
        <v>1163</v>
      </c>
      <c r="X68" s="32" t="s">
        <v>1163</v>
      </c>
      <c r="Y68" s="32" t="s">
        <v>1163</v>
      </c>
    </row>
    <row r="69" spans="1:25" s="18" customFormat="1" x14ac:dyDescent="0.3">
      <c r="A69" s="11" t="s">
        <v>1286</v>
      </c>
      <c r="B69" s="12">
        <v>932</v>
      </c>
      <c r="C69" s="13" t="s">
        <v>406</v>
      </c>
      <c r="D69" s="13" t="s">
        <v>86</v>
      </c>
      <c r="E69" s="8" t="s">
        <v>407</v>
      </c>
      <c r="F69" s="14">
        <v>45357</v>
      </c>
      <c r="G69" s="8" t="s">
        <v>177</v>
      </c>
      <c r="H69" s="8" t="s">
        <v>409</v>
      </c>
      <c r="I69" s="8" t="s">
        <v>5</v>
      </c>
      <c r="J69" s="34" t="s">
        <v>633</v>
      </c>
      <c r="K69" s="11" t="s">
        <v>39</v>
      </c>
      <c r="L69" s="58" t="s">
        <v>1163</v>
      </c>
      <c r="M69" s="58" t="s">
        <v>1163</v>
      </c>
      <c r="N69" s="58" t="s">
        <v>1163</v>
      </c>
      <c r="O69" s="58" t="s">
        <v>1163</v>
      </c>
      <c r="P69" s="58" t="s">
        <v>1163</v>
      </c>
      <c r="Q69" s="58" t="s">
        <v>1163</v>
      </c>
      <c r="R69" s="58" t="s">
        <v>1163</v>
      </c>
      <c r="S69" s="58" t="s">
        <v>1163</v>
      </c>
      <c r="T69" s="58" t="s">
        <v>1163</v>
      </c>
      <c r="U69" s="58" t="s">
        <v>1163</v>
      </c>
      <c r="V69" s="58" t="s">
        <v>1163</v>
      </c>
      <c r="W69" s="58" t="s">
        <v>1163</v>
      </c>
      <c r="X69" s="59" t="s">
        <v>1163</v>
      </c>
      <c r="Y69" s="59" t="s">
        <v>1163</v>
      </c>
    </row>
    <row r="70" spans="1:25" s="18" customFormat="1" x14ac:dyDescent="0.3">
      <c r="A70" s="11" t="s">
        <v>1286</v>
      </c>
      <c r="B70" s="12">
        <v>858</v>
      </c>
      <c r="C70" s="23" t="s">
        <v>307</v>
      </c>
      <c r="D70" s="23" t="s">
        <v>111</v>
      </c>
      <c r="E70" s="22" t="s">
        <v>308</v>
      </c>
      <c r="F70" s="24">
        <v>45222</v>
      </c>
      <c r="G70" s="22" t="s">
        <v>177</v>
      </c>
      <c r="H70" s="22" t="s">
        <v>309</v>
      </c>
      <c r="I70" s="22" t="s">
        <v>5</v>
      </c>
      <c r="J70" s="22" t="s">
        <v>182</v>
      </c>
      <c r="K70" s="11" t="s">
        <v>50</v>
      </c>
      <c r="L70" s="58" t="s">
        <v>1</v>
      </c>
      <c r="M70" s="58" t="s">
        <v>138</v>
      </c>
      <c r="N70" s="58" t="s">
        <v>1</v>
      </c>
      <c r="O70" s="58" t="s">
        <v>138</v>
      </c>
      <c r="P70" s="58" t="s">
        <v>2</v>
      </c>
      <c r="Q70" s="58" t="s">
        <v>137</v>
      </c>
      <c r="R70" s="58" t="s">
        <v>1163</v>
      </c>
      <c r="S70" s="58" t="s">
        <v>1163</v>
      </c>
      <c r="T70" s="58" t="s">
        <v>1</v>
      </c>
      <c r="U70" s="58" t="s">
        <v>138</v>
      </c>
      <c r="V70" s="58" t="s">
        <v>1</v>
      </c>
      <c r="W70" s="58" t="s">
        <v>149</v>
      </c>
      <c r="X70" s="59" t="s">
        <v>1163</v>
      </c>
      <c r="Y70" s="59" t="s">
        <v>1163</v>
      </c>
    </row>
    <row r="71" spans="1:25" s="18" customFormat="1" x14ac:dyDescent="0.3">
      <c r="A71" s="11" t="s">
        <v>1286</v>
      </c>
      <c r="B71" s="12">
        <v>1214</v>
      </c>
      <c r="C71" s="13" t="s">
        <v>664</v>
      </c>
      <c r="D71" s="13" t="s">
        <v>951</v>
      </c>
      <c r="E71" s="8" t="s">
        <v>678</v>
      </c>
      <c r="F71" s="14">
        <v>45838</v>
      </c>
      <c r="G71" s="8" t="s">
        <v>177</v>
      </c>
      <c r="H71" s="8" t="s">
        <v>665</v>
      </c>
      <c r="I71" s="8" t="s">
        <v>51</v>
      </c>
      <c r="J71" s="8" t="s">
        <v>320</v>
      </c>
      <c r="K71" s="11" t="s">
        <v>52</v>
      </c>
      <c r="L71" s="58" t="s">
        <v>1</v>
      </c>
      <c r="M71" s="58" t="s">
        <v>138</v>
      </c>
      <c r="N71" s="58" t="s">
        <v>1</v>
      </c>
      <c r="O71" s="58" t="s">
        <v>138</v>
      </c>
      <c r="P71" s="58" t="s">
        <v>2</v>
      </c>
      <c r="Q71" s="58" t="s">
        <v>137</v>
      </c>
      <c r="R71" s="58" t="s">
        <v>1163</v>
      </c>
      <c r="S71" s="58" t="s">
        <v>1163</v>
      </c>
      <c r="T71" s="58" t="s">
        <v>1</v>
      </c>
      <c r="U71" s="58" t="s">
        <v>138</v>
      </c>
      <c r="V71" s="58" t="s">
        <v>1</v>
      </c>
      <c r="W71" s="58" t="s">
        <v>149</v>
      </c>
      <c r="X71" s="59" t="s">
        <v>1163</v>
      </c>
      <c r="Y71" s="59" t="s">
        <v>1163</v>
      </c>
    </row>
    <row r="72" spans="1:25" s="18" customFormat="1" x14ac:dyDescent="0.3">
      <c r="A72" s="11" t="s">
        <v>1286</v>
      </c>
      <c r="B72" s="12">
        <v>1212</v>
      </c>
      <c r="C72" s="23" t="s">
        <v>647</v>
      </c>
      <c r="D72" s="23" t="s">
        <v>648</v>
      </c>
      <c r="E72" s="22" t="s">
        <v>649</v>
      </c>
      <c r="F72" s="24">
        <v>45824</v>
      </c>
      <c r="G72" s="22" t="s">
        <v>177</v>
      </c>
      <c r="H72" s="22" t="s">
        <v>650</v>
      </c>
      <c r="I72" s="22" t="s">
        <v>7</v>
      </c>
      <c r="J72" s="22" t="s">
        <v>903</v>
      </c>
      <c r="K72" s="11" t="s">
        <v>63</v>
      </c>
      <c r="L72" s="58" t="s">
        <v>2</v>
      </c>
      <c r="M72" s="58" t="s">
        <v>137</v>
      </c>
      <c r="N72" s="58" t="s">
        <v>2</v>
      </c>
      <c r="O72" s="58" t="s">
        <v>137</v>
      </c>
      <c r="P72" s="58" t="s">
        <v>1163</v>
      </c>
      <c r="Q72" s="58" t="s">
        <v>1163</v>
      </c>
      <c r="R72" s="58" t="s">
        <v>2</v>
      </c>
      <c r="S72" s="58" t="s">
        <v>137</v>
      </c>
      <c r="T72" s="58" t="s">
        <v>2</v>
      </c>
      <c r="U72" s="58" t="s">
        <v>137</v>
      </c>
      <c r="V72" s="58" t="s">
        <v>1</v>
      </c>
      <c r="W72" s="58" t="s">
        <v>149</v>
      </c>
      <c r="X72" s="59" t="s">
        <v>1163</v>
      </c>
      <c r="Y72" s="59" t="s">
        <v>1163</v>
      </c>
    </row>
    <row r="73" spans="1:25" s="18" customFormat="1" x14ac:dyDescent="0.3">
      <c r="A73" s="11" t="s">
        <v>1286</v>
      </c>
      <c r="B73" s="12">
        <v>1216</v>
      </c>
      <c r="C73" s="13" t="s">
        <v>319</v>
      </c>
      <c r="D73" s="13" t="s">
        <v>666</v>
      </c>
      <c r="E73" s="8" t="s">
        <v>667</v>
      </c>
      <c r="F73" s="14">
        <v>45838</v>
      </c>
      <c r="G73" s="8" t="s">
        <v>177</v>
      </c>
      <c r="H73" s="8" t="s">
        <v>668</v>
      </c>
      <c r="I73" s="8" t="s">
        <v>51</v>
      </c>
      <c r="J73" s="8" t="s">
        <v>95</v>
      </c>
      <c r="K73" s="11" t="s">
        <v>142</v>
      </c>
      <c r="L73" s="58" t="s">
        <v>2</v>
      </c>
      <c r="M73" s="58" t="s">
        <v>137</v>
      </c>
      <c r="N73" s="58" t="s">
        <v>2</v>
      </c>
      <c r="O73" s="58" t="s">
        <v>137</v>
      </c>
      <c r="P73" s="58" t="s">
        <v>2</v>
      </c>
      <c r="Q73" s="58" t="s">
        <v>137</v>
      </c>
      <c r="R73" s="58" t="s">
        <v>1163</v>
      </c>
      <c r="S73" s="58" t="s">
        <v>1163</v>
      </c>
      <c r="T73" s="58" t="s">
        <v>2</v>
      </c>
      <c r="U73" s="58" t="s">
        <v>137</v>
      </c>
      <c r="V73" s="58" t="s">
        <v>1</v>
      </c>
      <c r="W73" s="58" t="s">
        <v>149</v>
      </c>
      <c r="X73" s="59" t="s">
        <v>1163</v>
      </c>
      <c r="Y73" s="59" t="s">
        <v>1163</v>
      </c>
    </row>
    <row r="74" spans="1:25" s="18" customFormat="1" x14ac:dyDescent="0.3">
      <c r="A74" s="11" t="s">
        <v>1286</v>
      </c>
      <c r="B74" s="12">
        <v>621</v>
      </c>
      <c r="C74" s="23" t="s">
        <v>319</v>
      </c>
      <c r="D74" s="23" t="s">
        <v>321</v>
      </c>
      <c r="E74" s="22" t="s">
        <v>322</v>
      </c>
      <c r="F74" s="24">
        <v>44606</v>
      </c>
      <c r="G74" s="22" t="s">
        <v>177</v>
      </c>
      <c r="H74" s="22" t="s">
        <v>323</v>
      </c>
      <c r="I74" s="8" t="s">
        <v>51</v>
      </c>
      <c r="J74" s="22" t="s">
        <v>266</v>
      </c>
      <c r="K74" s="11" t="s">
        <v>52</v>
      </c>
      <c r="L74" s="58" t="s">
        <v>1</v>
      </c>
      <c r="M74" s="58" t="s">
        <v>138</v>
      </c>
      <c r="N74" s="58" t="s">
        <v>1</v>
      </c>
      <c r="O74" s="58" t="s">
        <v>138</v>
      </c>
      <c r="P74" s="58" t="s">
        <v>1</v>
      </c>
      <c r="Q74" s="58" t="s">
        <v>138</v>
      </c>
      <c r="R74" s="58" t="s">
        <v>1</v>
      </c>
      <c r="S74" s="58" t="s">
        <v>138</v>
      </c>
      <c r="T74" s="58" t="s">
        <v>1</v>
      </c>
      <c r="U74" s="58" t="s">
        <v>164</v>
      </c>
      <c r="V74" s="58" t="s">
        <v>1163</v>
      </c>
      <c r="W74" s="58" t="s">
        <v>1163</v>
      </c>
      <c r="X74" s="59" t="s">
        <v>1163</v>
      </c>
      <c r="Y74" s="59" t="s">
        <v>1163</v>
      </c>
    </row>
    <row r="75" spans="1:25" s="18" customFormat="1" x14ac:dyDescent="0.3">
      <c r="A75" s="11" t="s">
        <v>1286</v>
      </c>
      <c r="B75" s="12">
        <v>1175</v>
      </c>
      <c r="C75" s="13" t="s">
        <v>568</v>
      </c>
      <c r="D75" s="13" t="s">
        <v>157</v>
      </c>
      <c r="E75" s="8" t="s">
        <v>569</v>
      </c>
      <c r="F75" s="14">
        <v>45805</v>
      </c>
      <c r="G75" s="8" t="s">
        <v>177</v>
      </c>
      <c r="H75" s="8" t="s">
        <v>570</v>
      </c>
      <c r="I75" s="8" t="s">
        <v>51</v>
      </c>
      <c r="J75" s="8" t="s">
        <v>635</v>
      </c>
      <c r="K75" s="11" t="s">
        <v>57</v>
      </c>
      <c r="L75" s="58" t="s">
        <v>1</v>
      </c>
      <c r="M75" s="58" t="s">
        <v>138</v>
      </c>
      <c r="N75" s="58" t="s">
        <v>1</v>
      </c>
      <c r="O75" s="58" t="s">
        <v>138</v>
      </c>
      <c r="P75" s="58" t="s">
        <v>2</v>
      </c>
      <c r="Q75" s="58" t="s">
        <v>137</v>
      </c>
      <c r="R75" s="58" t="s">
        <v>1163</v>
      </c>
      <c r="S75" s="58" t="s">
        <v>1163</v>
      </c>
      <c r="T75" s="58" t="s">
        <v>2</v>
      </c>
      <c r="U75" s="58" t="s">
        <v>137</v>
      </c>
      <c r="V75" s="58" t="s">
        <v>1</v>
      </c>
      <c r="W75" s="58" t="s">
        <v>149</v>
      </c>
      <c r="X75" s="59" t="s">
        <v>1163</v>
      </c>
      <c r="Y75" s="59" t="s">
        <v>1163</v>
      </c>
    </row>
    <row r="76" spans="1:25" s="18" customFormat="1" x14ac:dyDescent="0.3">
      <c r="A76" s="11" t="s">
        <v>1286</v>
      </c>
      <c r="B76" s="12">
        <v>1377</v>
      </c>
      <c r="C76" s="23" t="s">
        <v>861</v>
      </c>
      <c r="D76" s="23" t="s">
        <v>862</v>
      </c>
      <c r="E76" s="22" t="s">
        <v>873</v>
      </c>
      <c r="F76" s="24">
        <v>45978</v>
      </c>
      <c r="G76" s="22" t="s">
        <v>177</v>
      </c>
      <c r="H76" s="22" t="s">
        <v>866</v>
      </c>
      <c r="I76" s="8" t="s">
        <v>7</v>
      </c>
      <c r="J76" s="8" t="s">
        <v>669</v>
      </c>
      <c r="K76" s="11" t="s">
        <v>63</v>
      </c>
      <c r="L76" s="58" t="s">
        <v>1</v>
      </c>
      <c r="M76" s="58" t="s">
        <v>138</v>
      </c>
      <c r="N76" s="58" t="s">
        <v>1</v>
      </c>
      <c r="O76" s="58" t="s">
        <v>138</v>
      </c>
      <c r="P76" s="58" t="s">
        <v>1163</v>
      </c>
      <c r="Q76" s="58" t="s">
        <v>1163</v>
      </c>
      <c r="R76" s="58" t="s">
        <v>2</v>
      </c>
      <c r="S76" s="58" t="s">
        <v>137</v>
      </c>
      <c r="T76" s="58" t="s">
        <v>2</v>
      </c>
      <c r="U76" s="58" t="s">
        <v>137</v>
      </c>
      <c r="V76" s="58" t="s">
        <v>1</v>
      </c>
      <c r="W76" s="58" t="s">
        <v>149</v>
      </c>
      <c r="X76" s="61" t="s">
        <v>1163</v>
      </c>
      <c r="Y76" s="61" t="s">
        <v>1163</v>
      </c>
    </row>
    <row r="77" spans="1:25" s="18" customFormat="1" x14ac:dyDescent="0.3">
      <c r="A77" s="11" t="s">
        <v>1286</v>
      </c>
      <c r="B77" s="12">
        <v>1378</v>
      </c>
      <c r="C77" s="13" t="s">
        <v>859</v>
      </c>
      <c r="D77" s="13" t="s">
        <v>860</v>
      </c>
      <c r="E77" s="8" t="s">
        <v>872</v>
      </c>
      <c r="F77" s="14">
        <v>45978</v>
      </c>
      <c r="G77" s="8" t="s">
        <v>177</v>
      </c>
      <c r="H77" s="8" t="s">
        <v>865</v>
      </c>
      <c r="I77" s="8" t="s">
        <v>51</v>
      </c>
      <c r="J77" s="8" t="s">
        <v>869</v>
      </c>
      <c r="K77" s="11" t="s">
        <v>52</v>
      </c>
      <c r="L77" s="58" t="s">
        <v>2</v>
      </c>
      <c r="M77" s="58" t="s">
        <v>137</v>
      </c>
      <c r="N77" s="58" t="s">
        <v>2</v>
      </c>
      <c r="O77" s="58" t="s">
        <v>137</v>
      </c>
      <c r="P77" s="58" t="s">
        <v>1163</v>
      </c>
      <c r="Q77" s="58" t="s">
        <v>1163</v>
      </c>
      <c r="R77" s="58" t="s">
        <v>2</v>
      </c>
      <c r="S77" s="58" t="s">
        <v>137</v>
      </c>
      <c r="T77" s="58" t="s">
        <v>1</v>
      </c>
      <c r="U77" s="58" t="s">
        <v>138</v>
      </c>
      <c r="V77" s="58" t="s">
        <v>1</v>
      </c>
      <c r="W77" s="58" t="s">
        <v>149</v>
      </c>
      <c r="X77" s="61" t="s">
        <v>1163</v>
      </c>
      <c r="Y77" s="61" t="s">
        <v>1163</v>
      </c>
    </row>
    <row r="78" spans="1:25" s="18" customFormat="1" x14ac:dyDescent="0.3">
      <c r="A78" s="11" t="s">
        <v>1286</v>
      </c>
      <c r="B78" s="12">
        <v>641</v>
      </c>
      <c r="C78" s="23" t="s">
        <v>349</v>
      </c>
      <c r="D78" s="23" t="s">
        <v>350</v>
      </c>
      <c r="E78" s="22" t="s">
        <v>351</v>
      </c>
      <c r="F78" s="24">
        <v>44627</v>
      </c>
      <c r="G78" s="22" t="s">
        <v>177</v>
      </c>
      <c r="H78" s="22" t="s">
        <v>352</v>
      </c>
      <c r="I78" s="8" t="s">
        <v>51</v>
      </c>
      <c r="J78" s="8" t="s">
        <v>766</v>
      </c>
      <c r="K78" s="11" t="s">
        <v>52</v>
      </c>
      <c r="L78" s="58" t="s">
        <v>1</v>
      </c>
      <c r="M78" s="58" t="s">
        <v>138</v>
      </c>
      <c r="N78" s="58" t="s">
        <v>1</v>
      </c>
      <c r="O78" s="58" t="s">
        <v>138</v>
      </c>
      <c r="P78" s="58" t="s">
        <v>1</v>
      </c>
      <c r="Q78" s="58" t="s">
        <v>138</v>
      </c>
      <c r="R78" s="58" t="s">
        <v>1</v>
      </c>
      <c r="S78" s="58" t="s">
        <v>138</v>
      </c>
      <c r="T78" s="58" t="s">
        <v>1</v>
      </c>
      <c r="U78" s="58" t="s">
        <v>164</v>
      </c>
      <c r="V78" s="58" t="s">
        <v>1163</v>
      </c>
      <c r="W78" s="58" t="s">
        <v>1163</v>
      </c>
      <c r="X78" s="59" t="s">
        <v>1163</v>
      </c>
      <c r="Y78" s="59" t="s">
        <v>1163</v>
      </c>
    </row>
    <row r="79" spans="1:25" s="18" customFormat="1" x14ac:dyDescent="0.3">
      <c r="A79" s="11" t="s">
        <v>1286</v>
      </c>
      <c r="B79" s="12"/>
      <c r="C79" s="23" t="s">
        <v>1039</v>
      </c>
      <c r="D79" s="23" t="s">
        <v>58</v>
      </c>
      <c r="E79" s="22" t="s">
        <v>1075</v>
      </c>
      <c r="F79" s="24">
        <v>46077</v>
      </c>
      <c r="G79" s="22" t="s">
        <v>177</v>
      </c>
      <c r="H79" s="22" t="s">
        <v>1057</v>
      </c>
      <c r="I79" s="22" t="s">
        <v>7</v>
      </c>
      <c r="J79" s="22" t="s">
        <v>1015</v>
      </c>
      <c r="K79" s="11" t="s">
        <v>63</v>
      </c>
      <c r="L79" s="58" t="s">
        <v>2</v>
      </c>
      <c r="M79" s="58" t="s">
        <v>137</v>
      </c>
      <c r="N79" s="58" t="s">
        <v>2</v>
      </c>
      <c r="O79" s="58" t="s">
        <v>137</v>
      </c>
      <c r="P79" s="58" t="s">
        <v>1</v>
      </c>
      <c r="Q79" s="58" t="s">
        <v>138</v>
      </c>
      <c r="R79" s="58" t="s">
        <v>1163</v>
      </c>
      <c r="S79" s="58" t="s">
        <v>1163</v>
      </c>
      <c r="T79" s="58" t="s">
        <v>2</v>
      </c>
      <c r="U79" s="58" t="s">
        <v>137</v>
      </c>
      <c r="V79" s="58" t="s">
        <v>1</v>
      </c>
      <c r="W79" s="58" t="s">
        <v>149</v>
      </c>
      <c r="X79" s="61" t="s">
        <v>1163</v>
      </c>
      <c r="Y79" s="61" t="s">
        <v>1163</v>
      </c>
    </row>
    <row r="80" spans="1:25" s="18" customFormat="1" x14ac:dyDescent="0.3">
      <c r="A80" s="11" t="s">
        <v>1286</v>
      </c>
      <c r="B80" s="12"/>
      <c r="C80" s="13" t="s">
        <v>647</v>
      </c>
      <c r="D80" s="13" t="s">
        <v>1069</v>
      </c>
      <c r="E80" s="8" t="s">
        <v>1086</v>
      </c>
      <c r="F80" s="14">
        <v>46077</v>
      </c>
      <c r="G80" s="22" t="s">
        <v>177</v>
      </c>
      <c r="H80" s="8" t="s">
        <v>1071</v>
      </c>
      <c r="I80" s="15" t="s">
        <v>7</v>
      </c>
      <c r="J80" s="8" t="s">
        <v>1015</v>
      </c>
      <c r="K80" s="11" t="s">
        <v>63</v>
      </c>
      <c r="L80" s="58" t="s">
        <v>2</v>
      </c>
      <c r="M80" s="58" t="s">
        <v>137</v>
      </c>
      <c r="N80" s="58" t="s">
        <v>2</v>
      </c>
      <c r="O80" s="58" t="s">
        <v>137</v>
      </c>
      <c r="P80" s="58" t="s">
        <v>2</v>
      </c>
      <c r="Q80" s="58" t="s">
        <v>138</v>
      </c>
      <c r="R80" s="58" t="s">
        <v>2</v>
      </c>
      <c r="S80" s="58" t="s">
        <v>138</v>
      </c>
      <c r="T80" s="58" t="s">
        <v>2</v>
      </c>
      <c r="U80" s="58" t="s">
        <v>138</v>
      </c>
      <c r="V80" s="29" t="s">
        <v>1163</v>
      </c>
      <c r="W80" s="29" t="s">
        <v>1163</v>
      </c>
      <c r="X80" s="29" t="s">
        <v>1163</v>
      </c>
      <c r="Y80" s="29" t="s">
        <v>1163</v>
      </c>
    </row>
    <row r="81" spans="1:25" s="18" customFormat="1" x14ac:dyDescent="0.3">
      <c r="A81" s="11" t="s">
        <v>1286</v>
      </c>
      <c r="B81" s="12">
        <v>243</v>
      </c>
      <c r="C81" s="23" t="s">
        <v>171</v>
      </c>
      <c r="D81" s="23" t="s">
        <v>172</v>
      </c>
      <c r="E81" s="22" t="s">
        <v>173</v>
      </c>
      <c r="F81" s="24">
        <v>43894</v>
      </c>
      <c r="G81" s="22" t="s">
        <v>174</v>
      </c>
      <c r="H81" s="22" t="s">
        <v>175</v>
      </c>
      <c r="I81" s="8" t="s">
        <v>51</v>
      </c>
      <c r="J81" s="22" t="s">
        <v>653</v>
      </c>
      <c r="K81" s="11" t="s">
        <v>142</v>
      </c>
      <c r="L81" s="58" t="s">
        <v>2</v>
      </c>
      <c r="M81" s="58" t="s">
        <v>137</v>
      </c>
      <c r="N81" s="58" t="s">
        <v>1163</v>
      </c>
      <c r="O81" s="58" t="s">
        <v>1163</v>
      </c>
      <c r="P81" s="58" t="s">
        <v>1163</v>
      </c>
      <c r="Q81" s="58" t="s">
        <v>1163</v>
      </c>
      <c r="R81" s="58" t="s">
        <v>2</v>
      </c>
      <c r="S81" s="58" t="s">
        <v>137</v>
      </c>
      <c r="T81" s="58" t="s">
        <v>2</v>
      </c>
      <c r="U81" s="58" t="s">
        <v>137</v>
      </c>
      <c r="V81" s="51" t="s">
        <v>1163</v>
      </c>
      <c r="W81" s="51" t="s">
        <v>1163</v>
      </c>
      <c r="X81" s="30" t="s">
        <v>1163</v>
      </c>
      <c r="Y81" s="30" t="s">
        <v>1163</v>
      </c>
    </row>
    <row r="82" spans="1:25" s="18" customFormat="1" x14ac:dyDescent="0.3">
      <c r="A82" s="11" t="s">
        <v>1286</v>
      </c>
      <c r="B82" s="12">
        <v>93</v>
      </c>
      <c r="C82" s="13" t="s">
        <v>225</v>
      </c>
      <c r="D82" s="13" t="s">
        <v>202</v>
      </c>
      <c r="E82" s="8" t="s">
        <v>226</v>
      </c>
      <c r="F82" s="14">
        <v>43740</v>
      </c>
      <c r="G82" s="8" t="s">
        <v>174</v>
      </c>
      <c r="H82" s="8" t="s">
        <v>227</v>
      </c>
      <c r="I82" s="8" t="s">
        <v>51</v>
      </c>
      <c r="J82" s="8" t="s">
        <v>654</v>
      </c>
      <c r="K82" s="11" t="s">
        <v>142</v>
      </c>
      <c r="L82" s="58" t="s">
        <v>1163</v>
      </c>
      <c r="M82" s="58" t="s">
        <v>1163</v>
      </c>
      <c r="N82" s="58" t="s">
        <v>2</v>
      </c>
      <c r="O82" s="58" t="s">
        <v>137</v>
      </c>
      <c r="P82" s="58" t="s">
        <v>2</v>
      </c>
      <c r="Q82" s="58" t="s">
        <v>137</v>
      </c>
      <c r="R82" s="58" t="s">
        <v>2</v>
      </c>
      <c r="S82" s="58" t="s">
        <v>137</v>
      </c>
      <c r="T82" s="58" t="s">
        <v>2</v>
      </c>
      <c r="U82" s="58" t="s">
        <v>137</v>
      </c>
      <c r="V82" s="51" t="s">
        <v>1163</v>
      </c>
      <c r="W82" s="51" t="s">
        <v>1163</v>
      </c>
      <c r="X82" s="30" t="s">
        <v>1163</v>
      </c>
      <c r="Y82" s="30" t="s">
        <v>1163</v>
      </c>
    </row>
    <row r="83" spans="1:25" s="18" customFormat="1" x14ac:dyDescent="0.3">
      <c r="A83" s="11" t="s">
        <v>1286</v>
      </c>
      <c r="B83" s="12">
        <v>102</v>
      </c>
      <c r="C83" s="23" t="s">
        <v>235</v>
      </c>
      <c r="D83" s="23" t="s">
        <v>236</v>
      </c>
      <c r="E83" s="22" t="s">
        <v>237</v>
      </c>
      <c r="F83" s="24">
        <v>43740</v>
      </c>
      <c r="G83" s="22" t="s">
        <v>174</v>
      </c>
      <c r="H83" s="22" t="s">
        <v>238</v>
      </c>
      <c r="I83" s="8" t="s">
        <v>51</v>
      </c>
      <c r="J83" s="22" t="s">
        <v>876</v>
      </c>
      <c r="K83" s="16" t="s">
        <v>52</v>
      </c>
      <c r="L83" s="58" t="s">
        <v>1163</v>
      </c>
      <c r="M83" s="58" t="s">
        <v>1163</v>
      </c>
      <c r="N83" s="58" t="s">
        <v>1163</v>
      </c>
      <c r="O83" s="58" t="s">
        <v>1163</v>
      </c>
      <c r="P83" s="58" t="s">
        <v>1163</v>
      </c>
      <c r="Q83" s="58" t="s">
        <v>1163</v>
      </c>
      <c r="R83" s="58" t="s">
        <v>1163</v>
      </c>
      <c r="S83" s="58" t="s">
        <v>1163</v>
      </c>
      <c r="T83" s="58" t="s">
        <v>1163</v>
      </c>
      <c r="U83" s="58" t="s">
        <v>1163</v>
      </c>
      <c r="V83" s="51" t="s">
        <v>1163</v>
      </c>
      <c r="W83" s="51" t="s">
        <v>1163</v>
      </c>
      <c r="X83" s="30" t="s">
        <v>1163</v>
      </c>
      <c r="Y83" s="30" t="s">
        <v>1163</v>
      </c>
    </row>
    <row r="84" spans="1:25" s="18" customFormat="1" x14ac:dyDescent="0.3">
      <c r="A84" s="11" t="s">
        <v>1286</v>
      </c>
      <c r="B84" s="12">
        <v>144</v>
      </c>
      <c r="C84" s="13" t="s">
        <v>281</v>
      </c>
      <c r="D84" s="13" t="s">
        <v>73</v>
      </c>
      <c r="E84" s="8" t="s">
        <v>282</v>
      </c>
      <c r="F84" s="14">
        <v>43760</v>
      </c>
      <c r="G84" s="22" t="s">
        <v>174</v>
      </c>
      <c r="H84" s="8" t="s">
        <v>283</v>
      </c>
      <c r="I84" s="8" t="s">
        <v>5</v>
      </c>
      <c r="J84" s="8" t="s">
        <v>1162</v>
      </c>
      <c r="K84" s="16" t="s">
        <v>39</v>
      </c>
      <c r="L84" s="58" t="s">
        <v>1163</v>
      </c>
      <c r="M84" s="58" t="s">
        <v>1163</v>
      </c>
      <c r="N84" s="58" t="s">
        <v>1163</v>
      </c>
      <c r="O84" s="58" t="s">
        <v>1163</v>
      </c>
      <c r="P84" s="58" t="s">
        <v>1163</v>
      </c>
      <c r="Q84" s="58" t="s">
        <v>1163</v>
      </c>
      <c r="R84" s="58" t="s">
        <v>1163</v>
      </c>
      <c r="S84" s="58" t="s">
        <v>1163</v>
      </c>
      <c r="T84" s="58" t="s">
        <v>1163</v>
      </c>
      <c r="U84" s="58" t="s">
        <v>1163</v>
      </c>
      <c r="V84" s="51" t="s">
        <v>1163</v>
      </c>
      <c r="W84" s="51" t="s">
        <v>1163</v>
      </c>
      <c r="X84" s="30" t="s">
        <v>1163</v>
      </c>
      <c r="Y84" s="30" t="s">
        <v>1163</v>
      </c>
    </row>
    <row r="85" spans="1:25" s="18" customFormat="1" x14ac:dyDescent="0.3">
      <c r="A85" s="11" t="s">
        <v>1286</v>
      </c>
      <c r="B85" s="12">
        <v>13</v>
      </c>
      <c r="C85" s="23" t="s">
        <v>300</v>
      </c>
      <c r="D85" s="23" t="s">
        <v>301</v>
      </c>
      <c r="E85" s="22" t="s">
        <v>302</v>
      </c>
      <c r="F85" s="24">
        <v>43542</v>
      </c>
      <c r="G85" s="22" t="s">
        <v>174</v>
      </c>
      <c r="H85" s="22" t="s">
        <v>656</v>
      </c>
      <c r="I85" s="8" t="s">
        <v>5</v>
      </c>
      <c r="J85" s="22" t="s">
        <v>657</v>
      </c>
      <c r="K85" s="16" t="s">
        <v>39</v>
      </c>
      <c r="L85" s="58" t="s">
        <v>1163</v>
      </c>
      <c r="M85" s="58" t="s">
        <v>1163</v>
      </c>
      <c r="N85" s="58" t="s">
        <v>1163</v>
      </c>
      <c r="O85" s="58" t="s">
        <v>1163</v>
      </c>
      <c r="P85" s="58" t="s">
        <v>1163</v>
      </c>
      <c r="Q85" s="58" t="s">
        <v>1163</v>
      </c>
      <c r="R85" s="58" t="s">
        <v>1163</v>
      </c>
      <c r="S85" s="58" t="s">
        <v>1163</v>
      </c>
      <c r="T85" s="58" t="s">
        <v>1163</v>
      </c>
      <c r="U85" s="58" t="s">
        <v>1163</v>
      </c>
      <c r="V85" s="51" t="s">
        <v>1163</v>
      </c>
      <c r="W85" s="51" t="s">
        <v>1163</v>
      </c>
      <c r="X85" s="30" t="s">
        <v>1163</v>
      </c>
      <c r="Y85" s="30" t="s">
        <v>1163</v>
      </c>
    </row>
    <row r="86" spans="1:25" s="18" customFormat="1" x14ac:dyDescent="0.3">
      <c r="A86" s="11" t="s">
        <v>1286</v>
      </c>
      <c r="B86" s="12">
        <v>115</v>
      </c>
      <c r="C86" s="13" t="s">
        <v>311</v>
      </c>
      <c r="D86" s="13" t="s">
        <v>312</v>
      </c>
      <c r="E86" s="8" t="s">
        <v>313</v>
      </c>
      <c r="F86" s="14">
        <v>43748</v>
      </c>
      <c r="G86" s="8" t="s">
        <v>174</v>
      </c>
      <c r="H86" s="8" t="s">
        <v>314</v>
      </c>
      <c r="I86" s="28" t="s">
        <v>7</v>
      </c>
      <c r="J86" s="8" t="s">
        <v>373</v>
      </c>
      <c r="K86" s="16" t="s">
        <v>63</v>
      </c>
      <c r="L86" s="58" t="s">
        <v>1163</v>
      </c>
      <c r="M86" s="58" t="s">
        <v>1163</v>
      </c>
      <c r="N86" s="58" t="s">
        <v>1163</v>
      </c>
      <c r="O86" s="58" t="s">
        <v>1163</v>
      </c>
      <c r="P86" s="58" t="s">
        <v>1163</v>
      </c>
      <c r="Q86" s="58" t="s">
        <v>1163</v>
      </c>
      <c r="R86" s="58" t="s">
        <v>1163</v>
      </c>
      <c r="S86" s="58" t="s">
        <v>1163</v>
      </c>
      <c r="T86" s="58" t="s">
        <v>1163</v>
      </c>
      <c r="U86" s="58" t="s">
        <v>1163</v>
      </c>
      <c r="V86" s="51" t="s">
        <v>1163</v>
      </c>
      <c r="W86" s="51" t="s">
        <v>1163</v>
      </c>
      <c r="X86" s="30" t="s">
        <v>1163</v>
      </c>
      <c r="Y86" s="30" t="s">
        <v>1163</v>
      </c>
    </row>
    <row r="87" spans="1:25" s="18" customFormat="1" x14ac:dyDescent="0.3">
      <c r="A87" s="11" t="s">
        <v>1286</v>
      </c>
      <c r="B87" s="12">
        <v>206</v>
      </c>
      <c r="C87" s="13" t="s">
        <v>315</v>
      </c>
      <c r="D87" s="13" t="s">
        <v>213</v>
      </c>
      <c r="E87" s="8" t="s">
        <v>316</v>
      </c>
      <c r="F87" s="14">
        <v>43843</v>
      </c>
      <c r="G87" s="8" t="s">
        <v>174</v>
      </c>
      <c r="H87" s="8" t="s">
        <v>317</v>
      </c>
      <c r="I87" s="22" t="s">
        <v>5</v>
      </c>
      <c r="J87" s="8" t="s">
        <v>655</v>
      </c>
      <c r="K87" s="16" t="s">
        <v>39</v>
      </c>
      <c r="L87" s="58" t="s">
        <v>1163</v>
      </c>
      <c r="M87" s="58" t="s">
        <v>1163</v>
      </c>
      <c r="N87" s="58" t="s">
        <v>1163</v>
      </c>
      <c r="O87" s="58" t="s">
        <v>1163</v>
      </c>
      <c r="P87" s="58" t="s">
        <v>1163</v>
      </c>
      <c r="Q87" s="58" t="s">
        <v>1163</v>
      </c>
      <c r="R87" s="58" t="s">
        <v>1163</v>
      </c>
      <c r="S87" s="58" t="s">
        <v>1163</v>
      </c>
      <c r="T87" s="58" t="s">
        <v>1163</v>
      </c>
      <c r="U87" s="58" t="s">
        <v>1163</v>
      </c>
      <c r="V87" s="51" t="s">
        <v>1163</v>
      </c>
      <c r="W87" s="51" t="s">
        <v>1163</v>
      </c>
      <c r="X87" s="30" t="s">
        <v>1163</v>
      </c>
      <c r="Y87" s="30" t="s">
        <v>1163</v>
      </c>
    </row>
    <row r="88" spans="1:25" s="18" customFormat="1" x14ac:dyDescent="0.3">
      <c r="A88" s="11" t="s">
        <v>1286</v>
      </c>
      <c r="B88" s="12">
        <v>100</v>
      </c>
      <c r="C88" s="23" t="s">
        <v>341</v>
      </c>
      <c r="D88" s="23" t="s">
        <v>342</v>
      </c>
      <c r="E88" s="22" t="s">
        <v>343</v>
      </c>
      <c r="F88" s="24">
        <v>43740</v>
      </c>
      <c r="G88" s="22" t="s">
        <v>174</v>
      </c>
      <c r="H88" s="22" t="s">
        <v>344</v>
      </c>
      <c r="I88" s="15" t="s">
        <v>6</v>
      </c>
      <c r="J88" s="22" t="s">
        <v>658</v>
      </c>
      <c r="K88" s="16" t="s">
        <v>62</v>
      </c>
      <c r="L88" s="58" t="s">
        <v>1163</v>
      </c>
      <c r="M88" s="58" t="s">
        <v>1163</v>
      </c>
      <c r="N88" s="58" t="s">
        <v>1163</v>
      </c>
      <c r="O88" s="58" t="s">
        <v>1163</v>
      </c>
      <c r="P88" s="58" t="s">
        <v>1163</v>
      </c>
      <c r="Q88" s="58" t="s">
        <v>1163</v>
      </c>
      <c r="R88" s="58" t="s">
        <v>1163</v>
      </c>
      <c r="S88" s="58" t="s">
        <v>1163</v>
      </c>
      <c r="T88" s="58" t="s">
        <v>1163</v>
      </c>
      <c r="U88" s="58" t="s">
        <v>1163</v>
      </c>
      <c r="V88" s="51" t="s">
        <v>1163</v>
      </c>
      <c r="W88" s="51" t="s">
        <v>1163</v>
      </c>
      <c r="X88" s="30" t="s">
        <v>1163</v>
      </c>
      <c r="Y88" s="30" t="s">
        <v>1163</v>
      </c>
    </row>
    <row r="89" spans="1:25" s="18" customFormat="1" x14ac:dyDescent="0.3">
      <c r="A89" s="11" t="s">
        <v>1286</v>
      </c>
      <c r="B89" s="12">
        <v>694</v>
      </c>
      <c r="C89" s="13" t="s">
        <v>197</v>
      </c>
      <c r="D89" s="13" t="s">
        <v>198</v>
      </c>
      <c r="E89" s="8" t="s">
        <v>199</v>
      </c>
      <c r="F89" s="14">
        <v>44655</v>
      </c>
      <c r="G89" s="8" t="s">
        <v>203</v>
      </c>
      <c r="H89" s="8" t="s">
        <v>200</v>
      </c>
      <c r="I89" s="8" t="s">
        <v>6</v>
      </c>
      <c r="J89" s="8" t="s">
        <v>201</v>
      </c>
      <c r="K89" s="16" t="s">
        <v>96</v>
      </c>
      <c r="L89" s="58" t="s">
        <v>1</v>
      </c>
      <c r="M89" s="58" t="s">
        <v>138</v>
      </c>
      <c r="N89" s="58" t="s">
        <v>1</v>
      </c>
      <c r="O89" s="58" t="s">
        <v>138</v>
      </c>
      <c r="P89" s="58" t="s">
        <v>1</v>
      </c>
      <c r="Q89" s="58" t="s">
        <v>138</v>
      </c>
      <c r="R89" s="58" t="s">
        <v>1</v>
      </c>
      <c r="S89" s="58" t="s">
        <v>138</v>
      </c>
      <c r="T89" s="58" t="s">
        <v>1</v>
      </c>
      <c r="U89" s="58" t="s">
        <v>164</v>
      </c>
      <c r="V89" s="35" t="s">
        <v>1163</v>
      </c>
      <c r="W89" s="35" t="s">
        <v>1163</v>
      </c>
      <c r="X89" s="36" t="s">
        <v>1163</v>
      </c>
      <c r="Y89" s="36" t="s">
        <v>1163</v>
      </c>
    </row>
    <row r="90" spans="1:25" s="18" customFormat="1" x14ac:dyDescent="0.3">
      <c r="A90" s="11" t="s">
        <v>1286</v>
      </c>
      <c r="B90" s="12">
        <v>338</v>
      </c>
      <c r="C90" s="23" t="s">
        <v>91</v>
      </c>
      <c r="D90" s="23" t="s">
        <v>92</v>
      </c>
      <c r="E90" s="22" t="s">
        <v>93</v>
      </c>
      <c r="F90" s="24">
        <v>44242</v>
      </c>
      <c r="G90" s="22" t="s">
        <v>203</v>
      </c>
      <c r="H90" s="22" t="s">
        <v>94</v>
      </c>
      <c r="I90" s="22" t="s">
        <v>51</v>
      </c>
      <c r="J90" s="22" t="s">
        <v>95</v>
      </c>
      <c r="K90" s="16" t="s">
        <v>142</v>
      </c>
      <c r="L90" s="58" t="s">
        <v>2</v>
      </c>
      <c r="M90" s="58" t="s">
        <v>137</v>
      </c>
      <c r="N90" s="58" t="s">
        <v>2</v>
      </c>
      <c r="O90" s="58" t="s">
        <v>137</v>
      </c>
      <c r="P90" s="58" t="s">
        <v>2</v>
      </c>
      <c r="Q90" s="58" t="s">
        <v>137</v>
      </c>
      <c r="R90" s="58" t="s">
        <v>2</v>
      </c>
      <c r="S90" s="58" t="s">
        <v>137</v>
      </c>
      <c r="T90" s="58" t="s">
        <v>1</v>
      </c>
      <c r="U90" s="58" t="s">
        <v>164</v>
      </c>
      <c r="V90" s="35" t="s">
        <v>1163</v>
      </c>
      <c r="W90" s="35" t="s">
        <v>1163</v>
      </c>
      <c r="X90" s="36" t="s">
        <v>1163</v>
      </c>
      <c r="Y90" s="36" t="s">
        <v>1163</v>
      </c>
    </row>
    <row r="91" spans="1:25" s="18" customFormat="1" x14ac:dyDescent="0.3">
      <c r="A91" s="11" t="s">
        <v>1286</v>
      </c>
      <c r="B91" s="12">
        <v>1088</v>
      </c>
      <c r="C91" s="13" t="s">
        <v>479</v>
      </c>
      <c r="D91" s="13" t="s">
        <v>310</v>
      </c>
      <c r="E91" s="8" t="s">
        <v>480</v>
      </c>
      <c r="F91" s="14">
        <v>45712</v>
      </c>
      <c r="G91" s="8" t="s">
        <v>203</v>
      </c>
      <c r="H91" s="8" t="s">
        <v>481</v>
      </c>
      <c r="I91" s="8" t="s">
        <v>59</v>
      </c>
      <c r="J91" s="8" t="s">
        <v>718</v>
      </c>
      <c r="K91" s="16" t="s">
        <v>57</v>
      </c>
      <c r="L91" s="58" t="s">
        <v>2</v>
      </c>
      <c r="M91" s="58" t="s">
        <v>137</v>
      </c>
      <c r="N91" s="58" t="s">
        <v>2</v>
      </c>
      <c r="O91" s="58" t="s">
        <v>137</v>
      </c>
      <c r="P91" s="58" t="s">
        <v>2</v>
      </c>
      <c r="Q91" s="58" t="s">
        <v>137</v>
      </c>
      <c r="R91" s="58" t="s">
        <v>2</v>
      </c>
      <c r="S91" s="58" t="s">
        <v>137</v>
      </c>
      <c r="T91" s="58" t="s">
        <v>1</v>
      </c>
      <c r="U91" s="58" t="s">
        <v>164</v>
      </c>
      <c r="V91" s="35" t="s">
        <v>1163</v>
      </c>
      <c r="W91" s="35" t="s">
        <v>1163</v>
      </c>
      <c r="X91" s="36" t="s">
        <v>1163</v>
      </c>
      <c r="Y91" s="36" t="s">
        <v>1163</v>
      </c>
    </row>
    <row r="92" spans="1:25" s="18" customFormat="1" x14ac:dyDescent="0.3">
      <c r="A92" s="11" t="s">
        <v>1286</v>
      </c>
      <c r="B92" s="12"/>
      <c r="C92" s="23" t="s">
        <v>1156</v>
      </c>
      <c r="D92" s="23" t="s">
        <v>58</v>
      </c>
      <c r="E92" s="22" t="s">
        <v>1171</v>
      </c>
      <c r="F92" s="24">
        <v>46132</v>
      </c>
      <c r="G92" s="22" t="s">
        <v>1155</v>
      </c>
      <c r="H92" s="22" t="s">
        <v>1157</v>
      </c>
      <c r="I92" s="22" t="s">
        <v>7</v>
      </c>
      <c r="J92" s="22" t="s">
        <v>924</v>
      </c>
      <c r="K92" s="16" t="s">
        <v>63</v>
      </c>
      <c r="L92" s="58" t="s">
        <v>2</v>
      </c>
      <c r="M92" s="58" t="s">
        <v>137</v>
      </c>
      <c r="N92" s="58" t="s">
        <v>2</v>
      </c>
      <c r="O92" s="58" t="s">
        <v>137</v>
      </c>
      <c r="P92" s="58" t="s">
        <v>2</v>
      </c>
      <c r="Q92" s="58" t="s">
        <v>137</v>
      </c>
      <c r="R92" s="29" t="s">
        <v>1163</v>
      </c>
      <c r="S92" s="29" t="s">
        <v>1163</v>
      </c>
      <c r="T92" s="58" t="s">
        <v>2</v>
      </c>
      <c r="U92" s="58" t="s">
        <v>137</v>
      </c>
      <c r="V92" s="58" t="s">
        <v>1</v>
      </c>
      <c r="W92" s="58" t="s">
        <v>149</v>
      </c>
      <c r="X92" s="29" t="s">
        <v>1163</v>
      </c>
      <c r="Y92" s="29" t="s">
        <v>1163</v>
      </c>
    </row>
    <row r="93" spans="1:25" s="18" customFormat="1" x14ac:dyDescent="0.3">
      <c r="A93" s="11" t="s">
        <v>1286</v>
      </c>
      <c r="B93" s="12"/>
      <c r="C93" s="13" t="s">
        <v>1158</v>
      </c>
      <c r="D93" s="13" t="s">
        <v>1159</v>
      </c>
      <c r="E93" s="8" t="s">
        <v>1172</v>
      </c>
      <c r="F93" s="14">
        <v>46132</v>
      </c>
      <c r="G93" s="8" t="s">
        <v>1155</v>
      </c>
      <c r="H93" s="8" t="s">
        <v>1160</v>
      </c>
      <c r="I93" s="8" t="s">
        <v>7</v>
      </c>
      <c r="J93" s="8" t="s">
        <v>1161</v>
      </c>
      <c r="K93" s="16" t="s">
        <v>63</v>
      </c>
      <c r="L93" s="58" t="s">
        <v>2</v>
      </c>
      <c r="M93" s="58" t="s">
        <v>137</v>
      </c>
      <c r="N93" s="58" t="s">
        <v>2</v>
      </c>
      <c r="O93" s="58" t="s">
        <v>137</v>
      </c>
      <c r="P93" s="29" t="s">
        <v>1163</v>
      </c>
      <c r="Q93" s="29" t="s">
        <v>1163</v>
      </c>
      <c r="R93" s="58" t="s">
        <v>2</v>
      </c>
      <c r="S93" s="58" t="s">
        <v>137</v>
      </c>
      <c r="T93" s="58" t="s">
        <v>2</v>
      </c>
      <c r="U93" s="58" t="s">
        <v>137</v>
      </c>
      <c r="V93" s="58" t="s">
        <v>1</v>
      </c>
      <c r="W93" s="58" t="s">
        <v>149</v>
      </c>
      <c r="X93" s="29" t="s">
        <v>1163</v>
      </c>
      <c r="Y93" s="61" t="s">
        <v>1163</v>
      </c>
    </row>
    <row r="94" spans="1:25" s="18" customFormat="1" x14ac:dyDescent="0.3">
      <c r="A94" s="11" t="s">
        <v>1286</v>
      </c>
      <c r="B94" s="12"/>
      <c r="C94" s="23" t="s">
        <v>1055</v>
      </c>
      <c r="D94" s="23" t="s">
        <v>1056</v>
      </c>
      <c r="E94" s="22" t="s">
        <v>1084</v>
      </c>
      <c r="F94" s="24">
        <v>46077</v>
      </c>
      <c r="G94" s="22" t="s">
        <v>177</v>
      </c>
      <c r="H94" s="22" t="s">
        <v>1066</v>
      </c>
      <c r="I94" s="22" t="s">
        <v>5</v>
      </c>
      <c r="J94" s="22" t="s">
        <v>100</v>
      </c>
      <c r="K94" s="16" t="s">
        <v>39</v>
      </c>
      <c r="L94" s="58" t="s">
        <v>2</v>
      </c>
      <c r="M94" s="58" t="s">
        <v>137</v>
      </c>
      <c r="N94" s="58" t="s">
        <v>2</v>
      </c>
      <c r="O94" s="58" t="s">
        <v>137</v>
      </c>
      <c r="P94" s="58" t="s">
        <v>2</v>
      </c>
      <c r="Q94" s="58" t="s">
        <v>138</v>
      </c>
      <c r="R94" s="58" t="s">
        <v>2</v>
      </c>
      <c r="S94" s="58" t="s">
        <v>138</v>
      </c>
      <c r="T94" s="58" t="s">
        <v>2</v>
      </c>
      <c r="U94" s="58" t="s">
        <v>138</v>
      </c>
      <c r="V94" s="29" t="s">
        <v>1163</v>
      </c>
      <c r="W94" s="29" t="s">
        <v>1163</v>
      </c>
      <c r="X94" s="29" t="s">
        <v>1163</v>
      </c>
      <c r="Y94" s="29" t="s">
        <v>1163</v>
      </c>
    </row>
    <row r="95" spans="1:25" s="18" customFormat="1" x14ac:dyDescent="0.3">
      <c r="A95" s="11" t="s">
        <v>1286</v>
      </c>
      <c r="B95" s="12"/>
      <c r="C95" s="23" t="s">
        <v>1067</v>
      </c>
      <c r="D95" s="23" t="s">
        <v>1068</v>
      </c>
      <c r="E95" s="22" t="s">
        <v>1085</v>
      </c>
      <c r="F95" s="24">
        <v>46077</v>
      </c>
      <c r="G95" s="22" t="s">
        <v>1118</v>
      </c>
      <c r="H95" s="22" t="s">
        <v>1070</v>
      </c>
      <c r="I95" s="22" t="s">
        <v>6</v>
      </c>
      <c r="J95" s="22" t="s">
        <v>559</v>
      </c>
      <c r="K95" s="16" t="s">
        <v>62</v>
      </c>
      <c r="L95" s="58" t="s">
        <v>2</v>
      </c>
      <c r="M95" s="58" t="s">
        <v>137</v>
      </c>
      <c r="N95" s="29" t="s">
        <v>1163</v>
      </c>
      <c r="O95" s="29" t="s">
        <v>1163</v>
      </c>
      <c r="P95" s="58" t="s">
        <v>2</v>
      </c>
      <c r="Q95" s="58" t="s">
        <v>137</v>
      </c>
      <c r="R95" s="58" t="s">
        <v>2</v>
      </c>
      <c r="S95" s="58" t="s">
        <v>137</v>
      </c>
      <c r="T95" s="58" t="s">
        <v>2</v>
      </c>
      <c r="U95" s="58" t="s">
        <v>137</v>
      </c>
      <c r="V95" s="58" t="s">
        <v>1</v>
      </c>
      <c r="W95" s="58" t="s">
        <v>149</v>
      </c>
      <c r="X95" s="29" t="s">
        <v>1163</v>
      </c>
      <c r="Y95" s="61" t="s">
        <v>1163</v>
      </c>
    </row>
    <row r="96" spans="1:25" s="18" customFormat="1" x14ac:dyDescent="0.3">
      <c r="A96" s="11" t="s">
        <v>1286</v>
      </c>
      <c r="B96" s="12">
        <v>1138</v>
      </c>
      <c r="C96" s="13" t="s">
        <v>605</v>
      </c>
      <c r="D96" s="13" t="s">
        <v>99</v>
      </c>
      <c r="E96" s="8" t="s">
        <v>606</v>
      </c>
      <c r="F96" s="14">
        <v>45805</v>
      </c>
      <c r="G96" s="8" t="s">
        <v>941</v>
      </c>
      <c r="H96" s="8" t="s">
        <v>607</v>
      </c>
      <c r="I96" s="8" t="s">
        <v>6</v>
      </c>
      <c r="J96" s="8" t="s">
        <v>453</v>
      </c>
      <c r="K96" s="16" t="s">
        <v>62</v>
      </c>
      <c r="L96" s="58" t="s">
        <v>1</v>
      </c>
      <c r="M96" s="58" t="s">
        <v>138</v>
      </c>
      <c r="N96" s="58" t="s">
        <v>1</v>
      </c>
      <c r="O96" s="58" t="s">
        <v>138</v>
      </c>
      <c r="P96" s="58" t="s">
        <v>1</v>
      </c>
      <c r="Q96" s="58" t="s">
        <v>138</v>
      </c>
      <c r="R96" s="58" t="s">
        <v>1</v>
      </c>
      <c r="S96" s="58" t="s">
        <v>138</v>
      </c>
      <c r="T96" s="58" t="s">
        <v>1</v>
      </c>
      <c r="U96" s="58" t="s">
        <v>164</v>
      </c>
      <c r="V96" s="50" t="s">
        <v>1163</v>
      </c>
      <c r="W96" s="50" t="s">
        <v>1163</v>
      </c>
      <c r="X96" s="17" t="s">
        <v>1163</v>
      </c>
      <c r="Y96" s="17" t="s">
        <v>1163</v>
      </c>
    </row>
    <row r="97" spans="1:25" s="18" customFormat="1" x14ac:dyDescent="0.3">
      <c r="A97" s="11" t="s">
        <v>1286</v>
      </c>
      <c r="B97" s="12">
        <v>1187</v>
      </c>
      <c r="C97" s="23" t="s">
        <v>630</v>
      </c>
      <c r="D97" s="23" t="s">
        <v>629</v>
      </c>
      <c r="E97" s="22" t="s">
        <v>631</v>
      </c>
      <c r="F97" s="24">
        <v>45805</v>
      </c>
      <c r="G97" s="22" t="s">
        <v>749</v>
      </c>
      <c r="H97" s="22" t="s">
        <v>632</v>
      </c>
      <c r="I97" s="22" t="s">
        <v>5</v>
      </c>
      <c r="J97" s="22" t="s">
        <v>633</v>
      </c>
      <c r="K97" s="16" t="s">
        <v>50</v>
      </c>
      <c r="L97" s="58" t="s">
        <v>2</v>
      </c>
      <c r="M97" s="58" t="s">
        <v>138</v>
      </c>
      <c r="N97" s="58" t="s">
        <v>4</v>
      </c>
      <c r="O97" s="58" t="s">
        <v>147</v>
      </c>
      <c r="P97" s="58" t="s">
        <v>2</v>
      </c>
      <c r="Q97" s="58" t="s">
        <v>137</v>
      </c>
      <c r="R97" s="58" t="s">
        <v>2</v>
      </c>
      <c r="S97" s="58" t="s">
        <v>137</v>
      </c>
      <c r="T97" s="58" t="s">
        <v>2</v>
      </c>
      <c r="U97" s="58" t="s">
        <v>137</v>
      </c>
      <c r="V97" s="50" t="s">
        <v>1163</v>
      </c>
      <c r="W97" s="50" t="s">
        <v>1163</v>
      </c>
      <c r="X97" s="17" t="s">
        <v>1163</v>
      </c>
      <c r="Y97" s="17" t="s">
        <v>1163</v>
      </c>
    </row>
    <row r="98" spans="1:25" s="18" customFormat="1" x14ac:dyDescent="0.3">
      <c r="A98" s="11" t="s">
        <v>1286</v>
      </c>
      <c r="B98" s="12">
        <v>1211</v>
      </c>
      <c r="C98" s="13" t="s">
        <v>643</v>
      </c>
      <c r="D98" s="13" t="s">
        <v>115</v>
      </c>
      <c r="E98" s="8" t="s">
        <v>644</v>
      </c>
      <c r="F98" s="14">
        <v>45824</v>
      </c>
      <c r="G98" s="8" t="s">
        <v>749</v>
      </c>
      <c r="H98" s="8" t="s">
        <v>645</v>
      </c>
      <c r="I98" s="8" t="s">
        <v>5</v>
      </c>
      <c r="J98" s="8" t="s">
        <v>646</v>
      </c>
      <c r="K98" s="16" t="s">
        <v>50</v>
      </c>
      <c r="L98" s="58" t="s">
        <v>2</v>
      </c>
      <c r="M98" s="58" t="s">
        <v>138</v>
      </c>
      <c r="N98" s="58" t="s">
        <v>4</v>
      </c>
      <c r="O98" s="58" t="s">
        <v>147</v>
      </c>
      <c r="P98" s="58" t="s">
        <v>2</v>
      </c>
      <c r="Q98" s="58" t="s">
        <v>137</v>
      </c>
      <c r="R98" s="58" t="s">
        <v>2</v>
      </c>
      <c r="S98" s="58" t="s">
        <v>137</v>
      </c>
      <c r="T98" s="58" t="s">
        <v>2</v>
      </c>
      <c r="U98" s="58" t="s">
        <v>137</v>
      </c>
      <c r="V98" s="50" t="s">
        <v>1163</v>
      </c>
      <c r="W98" s="50" t="s">
        <v>1163</v>
      </c>
      <c r="X98" s="17" t="s">
        <v>1163</v>
      </c>
      <c r="Y98" s="17" t="s">
        <v>1163</v>
      </c>
    </row>
    <row r="99" spans="1:25" s="18" customFormat="1" x14ac:dyDescent="0.3">
      <c r="A99" s="11" t="s">
        <v>1286</v>
      </c>
      <c r="B99" s="12"/>
      <c r="C99" s="23" t="s">
        <v>1003</v>
      </c>
      <c r="D99" s="23" t="s">
        <v>1004</v>
      </c>
      <c r="E99" s="22" t="s">
        <v>1027</v>
      </c>
      <c r="F99" s="24">
        <v>46054</v>
      </c>
      <c r="G99" s="22" t="s">
        <v>749</v>
      </c>
      <c r="H99" s="22" t="s">
        <v>1005</v>
      </c>
      <c r="I99" s="22" t="s">
        <v>59</v>
      </c>
      <c r="J99" s="33" t="s">
        <v>754</v>
      </c>
      <c r="K99" s="16" t="s">
        <v>57</v>
      </c>
      <c r="L99" s="58" t="s">
        <v>2</v>
      </c>
      <c r="M99" s="58" t="s">
        <v>138</v>
      </c>
      <c r="N99" s="58" t="s">
        <v>4</v>
      </c>
      <c r="O99" s="58" t="s">
        <v>147</v>
      </c>
      <c r="P99" s="58" t="s">
        <v>2</v>
      </c>
      <c r="Q99" s="58" t="s">
        <v>137</v>
      </c>
      <c r="R99" s="58" t="s">
        <v>2</v>
      </c>
      <c r="S99" s="58" t="s">
        <v>137</v>
      </c>
      <c r="T99" s="58" t="s">
        <v>2</v>
      </c>
      <c r="U99" s="58" t="s">
        <v>137</v>
      </c>
      <c r="V99" s="50" t="s">
        <v>1163</v>
      </c>
      <c r="W99" s="51" t="s">
        <v>1163</v>
      </c>
      <c r="X99" s="17" t="s">
        <v>1163</v>
      </c>
      <c r="Y99" s="21" t="s">
        <v>1163</v>
      </c>
    </row>
    <row r="100" spans="1:25" s="18" customFormat="1" x14ac:dyDescent="0.3">
      <c r="A100" s="11" t="s">
        <v>1286</v>
      </c>
      <c r="B100" s="12"/>
      <c r="C100" s="23" t="s">
        <v>1006</v>
      </c>
      <c r="D100" s="23" t="s">
        <v>884</v>
      </c>
      <c r="E100" s="22" t="s">
        <v>1028</v>
      </c>
      <c r="F100" s="24">
        <v>46054</v>
      </c>
      <c r="G100" s="22" t="s">
        <v>749</v>
      </c>
      <c r="H100" s="22" t="s">
        <v>1007</v>
      </c>
      <c r="I100" s="22" t="s">
        <v>51</v>
      </c>
      <c r="J100" s="22" t="s">
        <v>1008</v>
      </c>
      <c r="K100" s="16" t="s">
        <v>52</v>
      </c>
      <c r="L100" s="58" t="s">
        <v>2</v>
      </c>
      <c r="M100" s="58" t="s">
        <v>138</v>
      </c>
      <c r="N100" s="58" t="s">
        <v>1163</v>
      </c>
      <c r="O100" s="58" t="s">
        <v>1163</v>
      </c>
      <c r="P100" s="58" t="s">
        <v>1163</v>
      </c>
      <c r="Q100" s="58" t="s">
        <v>1163</v>
      </c>
      <c r="R100" s="58" t="s">
        <v>2</v>
      </c>
      <c r="S100" s="58" t="s">
        <v>137</v>
      </c>
      <c r="T100" s="58" t="s">
        <v>2</v>
      </c>
      <c r="U100" s="58" t="s">
        <v>137</v>
      </c>
      <c r="V100" s="50" t="s">
        <v>1163</v>
      </c>
      <c r="W100" s="51" t="s">
        <v>1163</v>
      </c>
      <c r="X100" s="17" t="s">
        <v>1163</v>
      </c>
      <c r="Y100" s="21" t="s">
        <v>1163</v>
      </c>
    </row>
    <row r="101" spans="1:25" s="18" customFormat="1" x14ac:dyDescent="0.3">
      <c r="A101" s="11" t="s">
        <v>1286</v>
      </c>
      <c r="B101" s="22"/>
      <c r="C101" s="8" t="s">
        <v>1013</v>
      </c>
      <c r="D101" s="8" t="s">
        <v>102</v>
      </c>
      <c r="E101" s="8" t="s">
        <v>1031</v>
      </c>
      <c r="F101" s="14">
        <v>46055</v>
      </c>
      <c r="G101" s="8" t="s">
        <v>749</v>
      </c>
      <c r="H101" s="8" t="s">
        <v>1014</v>
      </c>
      <c r="I101" s="8" t="s">
        <v>5</v>
      </c>
      <c r="J101" s="8" t="s">
        <v>76</v>
      </c>
      <c r="K101" s="16" t="s">
        <v>39</v>
      </c>
      <c r="L101" s="58" t="s">
        <v>2</v>
      </c>
      <c r="M101" s="58" t="s">
        <v>138</v>
      </c>
      <c r="N101" s="58" t="s">
        <v>4</v>
      </c>
      <c r="O101" s="58" t="s">
        <v>147</v>
      </c>
      <c r="P101" s="58" t="s">
        <v>2</v>
      </c>
      <c r="Q101" s="58" t="s">
        <v>137</v>
      </c>
      <c r="R101" s="58" t="s">
        <v>2</v>
      </c>
      <c r="S101" s="58" t="s">
        <v>137</v>
      </c>
      <c r="T101" s="58" t="s">
        <v>2</v>
      </c>
      <c r="U101" s="58" t="s">
        <v>137</v>
      </c>
      <c r="V101" s="50" t="s">
        <v>1163</v>
      </c>
      <c r="W101" s="50" t="s">
        <v>1163</v>
      </c>
      <c r="X101" s="17" t="s">
        <v>1163</v>
      </c>
      <c r="Y101" s="17" t="s">
        <v>1163</v>
      </c>
    </row>
    <row r="102" spans="1:25" s="18" customFormat="1" x14ac:dyDescent="0.3">
      <c r="A102" s="11" t="s">
        <v>1286</v>
      </c>
      <c r="B102" s="12">
        <v>1013</v>
      </c>
      <c r="C102" s="23" t="s">
        <v>366</v>
      </c>
      <c r="D102" s="23" t="s">
        <v>364</v>
      </c>
      <c r="E102" s="22" t="s">
        <v>367</v>
      </c>
      <c r="F102" s="24">
        <v>45565</v>
      </c>
      <c r="G102" s="22" t="s">
        <v>845</v>
      </c>
      <c r="H102" s="22" t="s">
        <v>368</v>
      </c>
      <c r="I102" s="8" t="s">
        <v>5</v>
      </c>
      <c r="J102" s="22" t="s">
        <v>1165</v>
      </c>
      <c r="K102" s="16" t="s">
        <v>50</v>
      </c>
      <c r="L102" s="58" t="s">
        <v>2</v>
      </c>
      <c r="M102" s="58" t="s">
        <v>138</v>
      </c>
      <c r="N102" s="58" t="s">
        <v>2</v>
      </c>
      <c r="O102" s="58" t="s">
        <v>138</v>
      </c>
      <c r="P102" s="58" t="s">
        <v>2</v>
      </c>
      <c r="Q102" s="58" t="s">
        <v>138</v>
      </c>
      <c r="R102" s="58" t="s">
        <v>2</v>
      </c>
      <c r="S102" s="58" t="s">
        <v>138</v>
      </c>
      <c r="T102" s="58" t="s">
        <v>2</v>
      </c>
      <c r="U102" s="58" t="s">
        <v>138</v>
      </c>
      <c r="V102" s="50" t="s">
        <v>1</v>
      </c>
      <c r="W102" s="51" t="s">
        <v>813</v>
      </c>
      <c r="X102" s="17" t="s">
        <v>1163</v>
      </c>
      <c r="Y102" s="21" t="s">
        <v>1163</v>
      </c>
    </row>
    <row r="103" spans="1:25" s="18" customFormat="1" x14ac:dyDescent="0.3">
      <c r="A103" s="11" t="s">
        <v>1286</v>
      </c>
      <c r="B103" s="12">
        <v>1148</v>
      </c>
      <c r="C103" s="13" t="s">
        <v>601</v>
      </c>
      <c r="D103" s="13" t="s">
        <v>602</v>
      </c>
      <c r="E103" s="8" t="s">
        <v>603</v>
      </c>
      <c r="F103" s="14">
        <v>45805</v>
      </c>
      <c r="G103" s="8" t="s">
        <v>845</v>
      </c>
      <c r="H103" s="8" t="s">
        <v>604</v>
      </c>
      <c r="I103" s="8" t="s">
        <v>51</v>
      </c>
      <c r="J103" s="8" t="s">
        <v>90</v>
      </c>
      <c r="K103" s="16" t="s">
        <v>52</v>
      </c>
      <c r="L103" s="58" t="s">
        <v>1</v>
      </c>
      <c r="M103" s="58" t="s">
        <v>164</v>
      </c>
      <c r="N103" s="58" t="s">
        <v>1</v>
      </c>
      <c r="O103" s="58" t="s">
        <v>164</v>
      </c>
      <c r="P103" s="58" t="s">
        <v>1</v>
      </c>
      <c r="Q103" s="58" t="s">
        <v>164</v>
      </c>
      <c r="R103" s="58" t="s">
        <v>1</v>
      </c>
      <c r="S103" s="58" t="s">
        <v>164</v>
      </c>
      <c r="T103" s="58" t="s">
        <v>1</v>
      </c>
      <c r="U103" s="58" t="s">
        <v>164</v>
      </c>
      <c r="V103" s="50" t="s">
        <v>1</v>
      </c>
      <c r="W103" s="51" t="s">
        <v>813</v>
      </c>
      <c r="X103" s="17" t="s">
        <v>1163</v>
      </c>
      <c r="Y103" s="21" t="s">
        <v>1163</v>
      </c>
    </row>
    <row r="104" spans="1:25" s="18" customFormat="1" x14ac:dyDescent="0.3">
      <c r="A104" s="11" t="s">
        <v>1286</v>
      </c>
      <c r="B104" s="12">
        <v>1141</v>
      </c>
      <c r="C104" s="23" t="s">
        <v>619</v>
      </c>
      <c r="D104" s="23" t="s">
        <v>155</v>
      </c>
      <c r="E104" s="22" t="s">
        <v>620</v>
      </c>
      <c r="F104" s="24">
        <v>45805</v>
      </c>
      <c r="G104" s="22" t="s">
        <v>845</v>
      </c>
      <c r="H104" s="22" t="s">
        <v>621</v>
      </c>
      <c r="I104" s="22" t="s">
        <v>51</v>
      </c>
      <c r="J104" s="22" t="s">
        <v>1097</v>
      </c>
      <c r="K104" s="16" t="s">
        <v>142</v>
      </c>
      <c r="L104" s="58" t="s">
        <v>1</v>
      </c>
      <c r="M104" s="58" t="s">
        <v>164</v>
      </c>
      <c r="N104" s="58" t="s">
        <v>1</v>
      </c>
      <c r="O104" s="58" t="s">
        <v>164</v>
      </c>
      <c r="P104" s="58" t="s">
        <v>1</v>
      </c>
      <c r="Q104" s="58" t="s">
        <v>164</v>
      </c>
      <c r="R104" s="58" t="s">
        <v>1</v>
      </c>
      <c r="S104" s="58" t="s">
        <v>164</v>
      </c>
      <c r="T104" s="58" t="s">
        <v>1</v>
      </c>
      <c r="U104" s="58" t="s">
        <v>164</v>
      </c>
      <c r="V104" s="50" t="s">
        <v>1</v>
      </c>
      <c r="W104" s="51" t="s">
        <v>813</v>
      </c>
      <c r="X104" s="17" t="s">
        <v>1163</v>
      </c>
      <c r="Y104" s="21" t="s">
        <v>1163</v>
      </c>
    </row>
    <row r="105" spans="1:25" s="18" customFormat="1" x14ac:dyDescent="0.3">
      <c r="A105" s="11" t="s">
        <v>1286</v>
      </c>
      <c r="B105" s="12">
        <v>1146</v>
      </c>
      <c r="C105" s="13" t="s">
        <v>586</v>
      </c>
      <c r="D105" s="13" t="s">
        <v>240</v>
      </c>
      <c r="E105" s="8" t="s">
        <v>587</v>
      </c>
      <c r="F105" s="14">
        <v>45805</v>
      </c>
      <c r="G105" s="8" t="s">
        <v>845</v>
      </c>
      <c r="H105" s="8" t="s">
        <v>588</v>
      </c>
      <c r="I105" s="15" t="s">
        <v>7</v>
      </c>
      <c r="J105" s="8" t="s">
        <v>589</v>
      </c>
      <c r="K105" s="16" t="s">
        <v>63</v>
      </c>
      <c r="L105" s="58" t="s">
        <v>1</v>
      </c>
      <c r="M105" s="58" t="s">
        <v>164</v>
      </c>
      <c r="N105" s="58" t="s">
        <v>1</v>
      </c>
      <c r="O105" s="58" t="s">
        <v>164</v>
      </c>
      <c r="P105" s="58" t="s">
        <v>1</v>
      </c>
      <c r="Q105" s="58" t="s">
        <v>164</v>
      </c>
      <c r="R105" s="58" t="s">
        <v>1</v>
      </c>
      <c r="S105" s="58" t="s">
        <v>164</v>
      </c>
      <c r="T105" s="58" t="s">
        <v>1</v>
      </c>
      <c r="U105" s="58" t="s">
        <v>164</v>
      </c>
      <c r="V105" s="50" t="s">
        <v>1</v>
      </c>
      <c r="W105" s="51" t="s">
        <v>813</v>
      </c>
      <c r="X105" s="17" t="s">
        <v>1163</v>
      </c>
      <c r="Y105" s="21" t="s">
        <v>1163</v>
      </c>
    </row>
    <row r="106" spans="1:25" s="18" customFormat="1" x14ac:dyDescent="0.3">
      <c r="A106" s="11" t="s">
        <v>1286</v>
      </c>
      <c r="B106" s="12">
        <v>1161</v>
      </c>
      <c r="C106" s="23" t="s">
        <v>623</v>
      </c>
      <c r="D106" s="23" t="s">
        <v>240</v>
      </c>
      <c r="E106" s="22" t="s">
        <v>624</v>
      </c>
      <c r="F106" s="24">
        <v>45805</v>
      </c>
      <c r="G106" s="22" t="s">
        <v>845</v>
      </c>
      <c r="H106" s="22" t="s">
        <v>625</v>
      </c>
      <c r="I106" s="37" t="s">
        <v>51</v>
      </c>
      <c r="J106" s="33" t="s">
        <v>1180</v>
      </c>
      <c r="K106" s="38" t="s">
        <v>142</v>
      </c>
      <c r="L106" s="58" t="s">
        <v>1</v>
      </c>
      <c r="M106" s="58" t="s">
        <v>164</v>
      </c>
      <c r="N106" s="58" t="s">
        <v>1</v>
      </c>
      <c r="O106" s="58" t="s">
        <v>164</v>
      </c>
      <c r="P106" s="58" t="s">
        <v>1</v>
      </c>
      <c r="Q106" s="58" t="s">
        <v>164</v>
      </c>
      <c r="R106" s="58" t="s">
        <v>1</v>
      </c>
      <c r="S106" s="58" t="s">
        <v>164</v>
      </c>
      <c r="T106" s="58" t="s">
        <v>1</v>
      </c>
      <c r="U106" s="58" t="s">
        <v>164</v>
      </c>
      <c r="V106" s="50" t="s">
        <v>1</v>
      </c>
      <c r="W106" s="51" t="s">
        <v>813</v>
      </c>
      <c r="X106" s="17" t="s">
        <v>1163</v>
      </c>
      <c r="Y106" s="21" t="s">
        <v>1163</v>
      </c>
    </row>
    <row r="107" spans="1:25" s="18" customFormat="1" x14ac:dyDescent="0.3">
      <c r="A107" s="11" t="s">
        <v>1286</v>
      </c>
      <c r="B107" s="12">
        <v>1372</v>
      </c>
      <c r="C107" s="13" t="s">
        <v>846</v>
      </c>
      <c r="D107" s="13" t="s">
        <v>847</v>
      </c>
      <c r="E107" s="8" t="s">
        <v>855</v>
      </c>
      <c r="F107" s="14">
        <v>45971</v>
      </c>
      <c r="G107" s="8" t="s">
        <v>845</v>
      </c>
      <c r="H107" s="8" t="s">
        <v>851</v>
      </c>
      <c r="I107" s="28" t="s">
        <v>7</v>
      </c>
      <c r="J107" s="8" t="s">
        <v>858</v>
      </c>
      <c r="K107" s="11" t="s">
        <v>63</v>
      </c>
      <c r="L107" s="58" t="s">
        <v>1</v>
      </c>
      <c r="M107" s="58" t="s">
        <v>164</v>
      </c>
      <c r="N107" s="58" t="s">
        <v>1</v>
      </c>
      <c r="O107" s="58" t="s">
        <v>164</v>
      </c>
      <c r="P107" s="58" t="s">
        <v>1</v>
      </c>
      <c r="Q107" s="58" t="s">
        <v>164</v>
      </c>
      <c r="R107" s="58" t="s">
        <v>1</v>
      </c>
      <c r="S107" s="58" t="s">
        <v>164</v>
      </c>
      <c r="T107" s="58" t="s">
        <v>1</v>
      </c>
      <c r="U107" s="58" t="s">
        <v>164</v>
      </c>
      <c r="V107" s="50" t="s">
        <v>1</v>
      </c>
      <c r="W107" s="51" t="s">
        <v>813</v>
      </c>
      <c r="X107" s="17" t="s">
        <v>1163</v>
      </c>
      <c r="Y107" s="21" t="s">
        <v>1163</v>
      </c>
    </row>
    <row r="108" spans="1:25" s="18" customFormat="1" x14ac:dyDescent="0.3">
      <c r="A108" s="11" t="s">
        <v>1286</v>
      </c>
      <c r="B108" s="12">
        <v>1371</v>
      </c>
      <c r="C108" s="23" t="s">
        <v>848</v>
      </c>
      <c r="D108" s="23" t="s">
        <v>248</v>
      </c>
      <c r="E108" s="22" t="s">
        <v>856</v>
      </c>
      <c r="F108" s="24">
        <v>45971</v>
      </c>
      <c r="G108" s="22" t="s">
        <v>845</v>
      </c>
      <c r="H108" s="22" t="s">
        <v>852</v>
      </c>
      <c r="I108" s="22" t="s">
        <v>5</v>
      </c>
      <c r="J108" s="8" t="s">
        <v>762</v>
      </c>
      <c r="K108" s="11" t="s">
        <v>39</v>
      </c>
      <c r="L108" s="58" t="s">
        <v>1</v>
      </c>
      <c r="M108" s="58" t="s">
        <v>164</v>
      </c>
      <c r="N108" s="58" t="s">
        <v>1</v>
      </c>
      <c r="O108" s="58" t="s">
        <v>164</v>
      </c>
      <c r="P108" s="58" t="s">
        <v>1</v>
      </c>
      <c r="Q108" s="58" t="s">
        <v>164</v>
      </c>
      <c r="R108" s="58" t="s">
        <v>1</v>
      </c>
      <c r="S108" s="58" t="s">
        <v>164</v>
      </c>
      <c r="T108" s="58" t="s">
        <v>1</v>
      </c>
      <c r="U108" s="58" t="s">
        <v>164</v>
      </c>
      <c r="V108" s="50" t="s">
        <v>1</v>
      </c>
      <c r="W108" s="51" t="s">
        <v>813</v>
      </c>
      <c r="X108" s="17" t="s">
        <v>1163</v>
      </c>
      <c r="Y108" s="21" t="s">
        <v>1163</v>
      </c>
    </row>
    <row r="109" spans="1:25" s="18" customFormat="1" x14ac:dyDescent="0.3">
      <c r="A109" s="11" t="s">
        <v>1286</v>
      </c>
      <c r="B109" s="12">
        <v>1174</v>
      </c>
      <c r="C109" s="23" t="s">
        <v>572</v>
      </c>
      <c r="D109" s="23" t="s">
        <v>573</v>
      </c>
      <c r="E109" s="22" t="s">
        <v>574</v>
      </c>
      <c r="F109" s="24">
        <v>45805</v>
      </c>
      <c r="G109" s="22" t="s">
        <v>845</v>
      </c>
      <c r="H109" s="22" t="s">
        <v>575</v>
      </c>
      <c r="I109" s="22" t="s">
        <v>51</v>
      </c>
      <c r="J109" s="22" t="s">
        <v>576</v>
      </c>
      <c r="K109" s="16" t="s">
        <v>142</v>
      </c>
      <c r="L109" s="58" t="s">
        <v>1</v>
      </c>
      <c r="M109" s="58" t="s">
        <v>164</v>
      </c>
      <c r="N109" s="58" t="s">
        <v>1</v>
      </c>
      <c r="O109" s="58" t="s">
        <v>164</v>
      </c>
      <c r="P109" s="58" t="s">
        <v>1</v>
      </c>
      <c r="Q109" s="58" t="s">
        <v>164</v>
      </c>
      <c r="R109" s="58" t="s">
        <v>1</v>
      </c>
      <c r="S109" s="58" t="s">
        <v>164</v>
      </c>
      <c r="T109" s="58" t="s">
        <v>1</v>
      </c>
      <c r="U109" s="58" t="s">
        <v>164</v>
      </c>
      <c r="V109" s="50" t="s">
        <v>1</v>
      </c>
      <c r="W109" s="51" t="s">
        <v>813</v>
      </c>
      <c r="X109" s="17" t="s">
        <v>1163</v>
      </c>
      <c r="Y109" s="21" t="s">
        <v>1163</v>
      </c>
    </row>
    <row r="110" spans="1:25" s="18" customFormat="1" x14ac:dyDescent="0.3">
      <c r="A110" s="11" t="s">
        <v>1286</v>
      </c>
      <c r="B110" s="12">
        <v>1152</v>
      </c>
      <c r="C110" s="13" t="s">
        <v>577</v>
      </c>
      <c r="D110" s="13" t="s">
        <v>578</v>
      </c>
      <c r="E110" s="8" t="s">
        <v>579</v>
      </c>
      <c r="F110" s="14">
        <v>45805</v>
      </c>
      <c r="G110" s="8" t="s">
        <v>845</v>
      </c>
      <c r="H110" s="8" t="s">
        <v>580</v>
      </c>
      <c r="I110" s="8" t="s">
        <v>51</v>
      </c>
      <c r="J110" s="8" t="s">
        <v>266</v>
      </c>
      <c r="K110" s="16" t="s">
        <v>52</v>
      </c>
      <c r="L110" s="58" t="s">
        <v>1</v>
      </c>
      <c r="M110" s="58" t="s">
        <v>164</v>
      </c>
      <c r="N110" s="58" t="s">
        <v>1</v>
      </c>
      <c r="O110" s="58" t="s">
        <v>164</v>
      </c>
      <c r="P110" s="58" t="s">
        <v>1</v>
      </c>
      <c r="Q110" s="58" t="s">
        <v>164</v>
      </c>
      <c r="R110" s="58" t="s">
        <v>1</v>
      </c>
      <c r="S110" s="58" t="s">
        <v>164</v>
      </c>
      <c r="T110" s="58" t="s">
        <v>1</v>
      </c>
      <c r="U110" s="58" t="s">
        <v>164</v>
      </c>
      <c r="V110" s="50" t="s">
        <v>1</v>
      </c>
      <c r="W110" s="51" t="s">
        <v>813</v>
      </c>
      <c r="X110" s="17" t="s">
        <v>1163</v>
      </c>
      <c r="Y110" s="21" t="s">
        <v>1163</v>
      </c>
    </row>
    <row r="111" spans="1:25" s="18" customFormat="1" x14ac:dyDescent="0.3">
      <c r="A111" s="11" t="s">
        <v>1286</v>
      </c>
      <c r="B111" s="12">
        <v>1386</v>
      </c>
      <c r="C111" s="13" t="s">
        <v>881</v>
      </c>
      <c r="D111" s="13" t="s">
        <v>65</v>
      </c>
      <c r="E111" s="8" t="s">
        <v>904</v>
      </c>
      <c r="F111" s="14">
        <v>45999</v>
      </c>
      <c r="G111" s="8" t="s">
        <v>845</v>
      </c>
      <c r="H111" s="8" t="s">
        <v>882</v>
      </c>
      <c r="I111" s="28" t="s">
        <v>59</v>
      </c>
      <c r="J111" s="8" t="s">
        <v>883</v>
      </c>
      <c r="K111" s="16" t="s">
        <v>57</v>
      </c>
      <c r="L111" s="58" t="s">
        <v>1</v>
      </c>
      <c r="M111" s="58" t="s">
        <v>164</v>
      </c>
      <c r="N111" s="58" t="s">
        <v>1</v>
      </c>
      <c r="O111" s="58" t="s">
        <v>164</v>
      </c>
      <c r="P111" s="58" t="s">
        <v>1</v>
      </c>
      <c r="Q111" s="58" t="s">
        <v>164</v>
      </c>
      <c r="R111" s="58" t="s">
        <v>1</v>
      </c>
      <c r="S111" s="58" t="s">
        <v>164</v>
      </c>
      <c r="T111" s="58" t="s">
        <v>1</v>
      </c>
      <c r="U111" s="58" t="s">
        <v>164</v>
      </c>
      <c r="V111" s="50" t="s">
        <v>1</v>
      </c>
      <c r="W111" s="51" t="s">
        <v>813</v>
      </c>
      <c r="X111" s="17" t="s">
        <v>1163</v>
      </c>
      <c r="Y111" s="21" t="s">
        <v>1163</v>
      </c>
    </row>
    <row r="112" spans="1:25" s="18" customFormat="1" x14ac:dyDescent="0.3">
      <c r="A112" s="11" t="s">
        <v>1286</v>
      </c>
      <c r="B112" s="12">
        <v>1387</v>
      </c>
      <c r="C112" s="23" t="s">
        <v>885</v>
      </c>
      <c r="D112" s="23" t="s">
        <v>98</v>
      </c>
      <c r="E112" s="22" t="s">
        <v>905</v>
      </c>
      <c r="F112" s="24">
        <v>45999</v>
      </c>
      <c r="G112" s="22" t="s">
        <v>845</v>
      </c>
      <c r="H112" s="22" t="s">
        <v>886</v>
      </c>
      <c r="I112" s="22" t="s">
        <v>5</v>
      </c>
      <c r="J112" s="22" t="s">
        <v>879</v>
      </c>
      <c r="K112" s="16" t="s">
        <v>39</v>
      </c>
      <c r="L112" s="58" t="s">
        <v>1163</v>
      </c>
      <c r="M112" s="58" t="s">
        <v>1163</v>
      </c>
      <c r="N112" s="58" t="s">
        <v>1163</v>
      </c>
      <c r="O112" s="58" t="s">
        <v>1163</v>
      </c>
      <c r="P112" s="58" t="s">
        <v>1163</v>
      </c>
      <c r="Q112" s="58" t="s">
        <v>1163</v>
      </c>
      <c r="R112" s="58" t="s">
        <v>1163</v>
      </c>
      <c r="S112" s="58" t="s">
        <v>1163</v>
      </c>
      <c r="T112" s="58" t="s">
        <v>1163</v>
      </c>
      <c r="U112" s="58" t="s">
        <v>1163</v>
      </c>
      <c r="V112" s="58" t="s">
        <v>1163</v>
      </c>
      <c r="W112" s="58" t="s">
        <v>1163</v>
      </c>
      <c r="X112" s="17" t="s">
        <v>1163</v>
      </c>
      <c r="Y112" s="21" t="s">
        <v>1163</v>
      </c>
    </row>
    <row r="113" spans="1:26" s="18" customFormat="1" x14ac:dyDescent="0.3">
      <c r="A113" s="11" t="s">
        <v>1286</v>
      </c>
      <c r="B113" s="12">
        <v>1388</v>
      </c>
      <c r="C113" s="13" t="s">
        <v>887</v>
      </c>
      <c r="D113" s="13" t="s">
        <v>155</v>
      </c>
      <c r="E113" s="8" t="s">
        <v>906</v>
      </c>
      <c r="F113" s="14">
        <v>45999</v>
      </c>
      <c r="G113" s="8" t="s">
        <v>454</v>
      </c>
      <c r="H113" s="8" t="s">
        <v>888</v>
      </c>
      <c r="I113" s="8" t="s">
        <v>51</v>
      </c>
      <c r="J113" s="8" t="s">
        <v>68</v>
      </c>
      <c r="K113" s="16" t="s">
        <v>142</v>
      </c>
      <c r="L113" s="58" t="s">
        <v>4</v>
      </c>
      <c r="M113" s="58" t="s">
        <v>147</v>
      </c>
      <c r="N113" s="58" t="s">
        <v>4</v>
      </c>
      <c r="O113" s="58" t="s">
        <v>147</v>
      </c>
      <c r="P113" s="58" t="s">
        <v>4</v>
      </c>
      <c r="Q113" s="58" t="s">
        <v>147</v>
      </c>
      <c r="R113" s="58" t="s">
        <v>4</v>
      </c>
      <c r="S113" s="58" t="s">
        <v>147</v>
      </c>
      <c r="T113" s="58" t="s">
        <v>813</v>
      </c>
      <c r="U113" s="58" t="s">
        <v>147</v>
      </c>
      <c r="V113" s="50" t="s">
        <v>1163</v>
      </c>
      <c r="W113" s="50" t="s">
        <v>1163</v>
      </c>
      <c r="X113" s="17" t="s">
        <v>1163</v>
      </c>
      <c r="Y113" s="21" t="s">
        <v>1163</v>
      </c>
    </row>
    <row r="114" spans="1:26" s="18" customFormat="1" x14ac:dyDescent="0.3">
      <c r="A114" s="11" t="s">
        <v>1286</v>
      </c>
      <c r="B114" s="12">
        <v>1394</v>
      </c>
      <c r="C114" s="23" t="s">
        <v>889</v>
      </c>
      <c r="D114" s="23" t="s">
        <v>890</v>
      </c>
      <c r="E114" s="22" t="s">
        <v>907</v>
      </c>
      <c r="F114" s="24">
        <v>45999</v>
      </c>
      <c r="G114" s="22" t="s">
        <v>845</v>
      </c>
      <c r="H114" s="22" t="s">
        <v>891</v>
      </c>
      <c r="I114" s="22" t="s">
        <v>6</v>
      </c>
      <c r="J114" s="22" t="s">
        <v>892</v>
      </c>
      <c r="K114" s="16" t="s">
        <v>96</v>
      </c>
      <c r="L114" s="58" t="s">
        <v>1</v>
      </c>
      <c r="M114" s="58" t="s">
        <v>164</v>
      </c>
      <c r="N114" s="58" t="s">
        <v>1</v>
      </c>
      <c r="O114" s="58" t="s">
        <v>164</v>
      </c>
      <c r="P114" s="58" t="s">
        <v>1</v>
      </c>
      <c r="Q114" s="58" t="s">
        <v>164</v>
      </c>
      <c r="R114" s="58" t="s">
        <v>1</v>
      </c>
      <c r="S114" s="58" t="s">
        <v>164</v>
      </c>
      <c r="T114" s="58" t="s">
        <v>1</v>
      </c>
      <c r="U114" s="58" t="s">
        <v>164</v>
      </c>
      <c r="V114" s="50" t="s">
        <v>1</v>
      </c>
      <c r="W114" s="51" t="s">
        <v>813</v>
      </c>
      <c r="X114" s="17" t="s">
        <v>1163</v>
      </c>
      <c r="Y114" s="21" t="s">
        <v>1163</v>
      </c>
    </row>
    <row r="115" spans="1:26" s="18" customFormat="1" x14ac:dyDescent="0.3">
      <c r="A115" s="11" t="s">
        <v>1286</v>
      </c>
      <c r="B115" s="12">
        <v>1389</v>
      </c>
      <c r="C115" s="23" t="s">
        <v>893</v>
      </c>
      <c r="D115" s="23" t="s">
        <v>894</v>
      </c>
      <c r="E115" s="22" t="s">
        <v>908</v>
      </c>
      <c r="F115" s="24">
        <v>45999</v>
      </c>
      <c r="G115" s="22" t="s">
        <v>845</v>
      </c>
      <c r="H115" s="22" t="s">
        <v>895</v>
      </c>
      <c r="I115" s="15" t="s">
        <v>59</v>
      </c>
      <c r="J115" s="22" t="s">
        <v>896</v>
      </c>
      <c r="K115" s="16" t="s">
        <v>57</v>
      </c>
      <c r="L115" s="58" t="s">
        <v>1</v>
      </c>
      <c r="M115" s="58" t="s">
        <v>164</v>
      </c>
      <c r="N115" s="58" t="s">
        <v>1</v>
      </c>
      <c r="O115" s="58" t="s">
        <v>164</v>
      </c>
      <c r="P115" s="58" t="s">
        <v>1</v>
      </c>
      <c r="Q115" s="58" t="s">
        <v>164</v>
      </c>
      <c r="R115" s="58" t="s">
        <v>1</v>
      </c>
      <c r="S115" s="58" t="s">
        <v>164</v>
      </c>
      <c r="T115" s="58" t="s">
        <v>1</v>
      </c>
      <c r="U115" s="58" t="s">
        <v>164</v>
      </c>
      <c r="V115" s="50" t="s">
        <v>1</v>
      </c>
      <c r="W115" s="51" t="s">
        <v>813</v>
      </c>
      <c r="X115" s="17" t="s">
        <v>1163</v>
      </c>
      <c r="Y115" s="21" t="s">
        <v>1163</v>
      </c>
    </row>
    <row r="116" spans="1:26" s="18" customFormat="1" x14ac:dyDescent="0.3">
      <c r="A116" s="11" t="s">
        <v>1286</v>
      </c>
      <c r="B116" s="12">
        <v>1393</v>
      </c>
      <c r="C116" s="13" t="s">
        <v>897</v>
      </c>
      <c r="D116" s="13" t="s">
        <v>723</v>
      </c>
      <c r="E116" s="8" t="s">
        <v>909</v>
      </c>
      <c r="F116" s="14">
        <v>45999</v>
      </c>
      <c r="G116" s="8" t="s">
        <v>845</v>
      </c>
      <c r="H116" s="8" t="s">
        <v>898</v>
      </c>
      <c r="I116" s="15" t="s">
        <v>7</v>
      </c>
      <c r="J116" s="33" t="s">
        <v>1184</v>
      </c>
      <c r="K116" s="16" t="s">
        <v>63</v>
      </c>
      <c r="L116" s="58" t="s">
        <v>1</v>
      </c>
      <c r="M116" s="58" t="s">
        <v>164</v>
      </c>
      <c r="N116" s="58" t="s">
        <v>1</v>
      </c>
      <c r="O116" s="58" t="s">
        <v>164</v>
      </c>
      <c r="P116" s="58" t="s">
        <v>1</v>
      </c>
      <c r="Q116" s="58" t="s">
        <v>164</v>
      </c>
      <c r="R116" s="58" t="s">
        <v>1</v>
      </c>
      <c r="S116" s="58" t="s">
        <v>164</v>
      </c>
      <c r="T116" s="58" t="s">
        <v>1</v>
      </c>
      <c r="U116" s="58" t="s">
        <v>164</v>
      </c>
      <c r="V116" s="50" t="s">
        <v>1</v>
      </c>
      <c r="W116" s="51" t="s">
        <v>813</v>
      </c>
      <c r="X116" s="17" t="s">
        <v>1163</v>
      </c>
      <c r="Y116" s="21" t="s">
        <v>1163</v>
      </c>
    </row>
    <row r="117" spans="1:26" s="18" customFormat="1" x14ac:dyDescent="0.3">
      <c r="A117" s="11" t="s">
        <v>1286</v>
      </c>
      <c r="B117" s="12">
        <v>1390</v>
      </c>
      <c r="C117" s="23" t="s">
        <v>910</v>
      </c>
      <c r="D117" s="23" t="s">
        <v>911</v>
      </c>
      <c r="E117" s="22" t="s">
        <v>934</v>
      </c>
      <c r="F117" s="24">
        <v>45999</v>
      </c>
      <c r="G117" s="22" t="s">
        <v>845</v>
      </c>
      <c r="H117" s="22" t="s">
        <v>912</v>
      </c>
      <c r="I117" s="8" t="s">
        <v>59</v>
      </c>
      <c r="J117" s="22" t="s">
        <v>913</v>
      </c>
      <c r="K117" s="16" t="s">
        <v>57</v>
      </c>
      <c r="L117" s="50" t="s">
        <v>1163</v>
      </c>
      <c r="M117" s="51" t="s">
        <v>1163</v>
      </c>
      <c r="N117" s="50" t="s">
        <v>1163</v>
      </c>
      <c r="O117" s="51" t="s">
        <v>1163</v>
      </c>
      <c r="P117" s="50" t="s">
        <v>1163</v>
      </c>
      <c r="Q117" s="51" t="s">
        <v>1163</v>
      </c>
      <c r="R117" s="50" t="s">
        <v>1163</v>
      </c>
      <c r="S117" s="51" t="s">
        <v>1163</v>
      </c>
      <c r="T117" s="50" t="s">
        <v>1163</v>
      </c>
      <c r="U117" s="51" t="s">
        <v>1163</v>
      </c>
      <c r="V117" s="50" t="s">
        <v>1163</v>
      </c>
      <c r="W117" s="51" t="s">
        <v>1163</v>
      </c>
      <c r="X117" s="17" t="s">
        <v>1163</v>
      </c>
      <c r="Y117" s="21" t="s">
        <v>1163</v>
      </c>
    </row>
    <row r="118" spans="1:26" s="18" customFormat="1" x14ac:dyDescent="0.3">
      <c r="A118" s="11" t="s">
        <v>1286</v>
      </c>
      <c r="B118" s="12">
        <v>1413</v>
      </c>
      <c r="C118" s="13" t="s">
        <v>952</v>
      </c>
      <c r="D118" s="13" t="s">
        <v>105</v>
      </c>
      <c r="E118" s="8" t="s">
        <v>993</v>
      </c>
      <c r="F118" s="14">
        <v>46034</v>
      </c>
      <c r="G118" s="8" t="s">
        <v>845</v>
      </c>
      <c r="H118" s="8" t="s">
        <v>1145</v>
      </c>
      <c r="I118" s="28" t="s">
        <v>59</v>
      </c>
      <c r="J118" s="8" t="s">
        <v>992</v>
      </c>
      <c r="K118" s="16" t="s">
        <v>57</v>
      </c>
      <c r="L118" s="58" t="s">
        <v>1</v>
      </c>
      <c r="M118" s="58" t="s">
        <v>164</v>
      </c>
      <c r="N118" s="58" t="s">
        <v>1</v>
      </c>
      <c r="O118" s="58" t="s">
        <v>164</v>
      </c>
      <c r="P118" s="58" t="s">
        <v>1</v>
      </c>
      <c r="Q118" s="58" t="s">
        <v>164</v>
      </c>
      <c r="R118" s="58" t="s">
        <v>1</v>
      </c>
      <c r="S118" s="58" t="s">
        <v>164</v>
      </c>
      <c r="T118" s="58" t="s">
        <v>1</v>
      </c>
      <c r="U118" s="58" t="s">
        <v>164</v>
      </c>
      <c r="V118" s="50" t="s">
        <v>1</v>
      </c>
      <c r="W118" s="51" t="s">
        <v>813</v>
      </c>
      <c r="X118" s="17" t="s">
        <v>1163</v>
      </c>
      <c r="Y118" s="21" t="s">
        <v>1163</v>
      </c>
    </row>
    <row r="119" spans="1:26" s="18" customFormat="1" x14ac:dyDescent="0.3">
      <c r="A119" s="11" t="s">
        <v>1286</v>
      </c>
      <c r="B119" s="12">
        <v>1418</v>
      </c>
      <c r="C119" s="23" t="s">
        <v>953</v>
      </c>
      <c r="D119" s="23" t="s">
        <v>155</v>
      </c>
      <c r="E119" s="22" t="s">
        <v>994</v>
      </c>
      <c r="F119" s="24">
        <v>46034</v>
      </c>
      <c r="G119" s="22" t="s">
        <v>845</v>
      </c>
      <c r="H119" s="22" t="s">
        <v>965</v>
      </c>
      <c r="I119" s="22" t="s">
        <v>51</v>
      </c>
      <c r="J119" s="8" t="s">
        <v>90</v>
      </c>
      <c r="K119" s="16" t="s">
        <v>52</v>
      </c>
      <c r="L119" s="58" t="s">
        <v>1</v>
      </c>
      <c r="M119" s="58" t="s">
        <v>164</v>
      </c>
      <c r="N119" s="58" t="s">
        <v>1</v>
      </c>
      <c r="O119" s="58" t="s">
        <v>164</v>
      </c>
      <c r="P119" s="58" t="s">
        <v>1</v>
      </c>
      <c r="Q119" s="58" t="s">
        <v>164</v>
      </c>
      <c r="R119" s="58" t="s">
        <v>1</v>
      </c>
      <c r="S119" s="58" t="s">
        <v>164</v>
      </c>
      <c r="T119" s="58" t="s">
        <v>1</v>
      </c>
      <c r="U119" s="58" t="s">
        <v>164</v>
      </c>
      <c r="V119" s="50" t="s">
        <v>1</v>
      </c>
      <c r="W119" s="51" t="s">
        <v>813</v>
      </c>
      <c r="X119" s="17" t="s">
        <v>1163</v>
      </c>
      <c r="Y119" s="21" t="s">
        <v>1163</v>
      </c>
    </row>
    <row r="120" spans="1:26" s="18" customFormat="1" x14ac:dyDescent="0.3">
      <c r="A120" s="11" t="s">
        <v>1286</v>
      </c>
      <c r="B120" s="12">
        <v>1411</v>
      </c>
      <c r="C120" s="13" t="s">
        <v>954</v>
      </c>
      <c r="D120" s="13" t="s">
        <v>955</v>
      </c>
      <c r="E120" s="8" t="s">
        <v>995</v>
      </c>
      <c r="F120" s="14">
        <v>46034</v>
      </c>
      <c r="G120" s="8" t="s">
        <v>845</v>
      </c>
      <c r="H120" s="8" t="s">
        <v>966</v>
      </c>
      <c r="I120" s="22" t="s">
        <v>6</v>
      </c>
      <c r="J120" s="8" t="s">
        <v>989</v>
      </c>
      <c r="K120" s="16" t="s">
        <v>62</v>
      </c>
      <c r="L120" s="58" t="s">
        <v>1</v>
      </c>
      <c r="M120" s="58" t="s">
        <v>164</v>
      </c>
      <c r="N120" s="58" t="s">
        <v>1</v>
      </c>
      <c r="O120" s="58" t="s">
        <v>164</v>
      </c>
      <c r="P120" s="58" t="s">
        <v>1</v>
      </c>
      <c r="Q120" s="58" t="s">
        <v>164</v>
      </c>
      <c r="R120" s="58" t="s">
        <v>1</v>
      </c>
      <c r="S120" s="58" t="s">
        <v>164</v>
      </c>
      <c r="T120" s="58" t="s">
        <v>1</v>
      </c>
      <c r="U120" s="58" t="s">
        <v>164</v>
      </c>
      <c r="V120" s="50" t="s">
        <v>1</v>
      </c>
      <c r="W120" s="51" t="s">
        <v>813</v>
      </c>
      <c r="X120" s="17" t="s">
        <v>1163</v>
      </c>
      <c r="Y120" s="21" t="s">
        <v>1163</v>
      </c>
    </row>
    <row r="121" spans="1:26" s="18" customFormat="1" x14ac:dyDescent="0.3">
      <c r="A121" s="11" t="s">
        <v>1286</v>
      </c>
      <c r="B121" s="12">
        <v>1410</v>
      </c>
      <c r="C121" s="23" t="s">
        <v>956</v>
      </c>
      <c r="D121" s="23" t="s">
        <v>346</v>
      </c>
      <c r="E121" s="22" t="s">
        <v>996</v>
      </c>
      <c r="F121" s="24">
        <v>46034</v>
      </c>
      <c r="G121" s="22" t="s">
        <v>845</v>
      </c>
      <c r="H121" s="22" t="s">
        <v>967</v>
      </c>
      <c r="I121" s="22" t="s">
        <v>51</v>
      </c>
      <c r="J121" s="22" t="s">
        <v>320</v>
      </c>
      <c r="K121" s="16" t="s">
        <v>52</v>
      </c>
      <c r="L121" s="58" t="s">
        <v>1</v>
      </c>
      <c r="M121" s="58" t="s">
        <v>164</v>
      </c>
      <c r="N121" s="58" t="s">
        <v>1</v>
      </c>
      <c r="O121" s="58" t="s">
        <v>164</v>
      </c>
      <c r="P121" s="58" t="s">
        <v>1</v>
      </c>
      <c r="Q121" s="58" t="s">
        <v>164</v>
      </c>
      <c r="R121" s="58" t="s">
        <v>1</v>
      </c>
      <c r="S121" s="58" t="s">
        <v>164</v>
      </c>
      <c r="T121" s="58" t="s">
        <v>1</v>
      </c>
      <c r="U121" s="58" t="s">
        <v>164</v>
      </c>
      <c r="V121" s="50" t="s">
        <v>1163</v>
      </c>
      <c r="W121" s="51" t="s">
        <v>1163</v>
      </c>
      <c r="X121" s="17" t="s">
        <v>1163</v>
      </c>
      <c r="Y121" s="21" t="s">
        <v>1163</v>
      </c>
    </row>
    <row r="122" spans="1:26" s="18" customFormat="1" x14ac:dyDescent="0.3">
      <c r="A122" s="11" t="s">
        <v>1286</v>
      </c>
      <c r="B122" s="12">
        <v>1414</v>
      </c>
      <c r="C122" s="13" t="s">
        <v>957</v>
      </c>
      <c r="D122" s="13" t="s">
        <v>58</v>
      </c>
      <c r="E122" s="8" t="s">
        <v>997</v>
      </c>
      <c r="F122" s="14">
        <v>46034</v>
      </c>
      <c r="G122" s="8" t="s">
        <v>845</v>
      </c>
      <c r="H122" s="8" t="s">
        <v>968</v>
      </c>
      <c r="I122" s="28" t="s">
        <v>59</v>
      </c>
      <c r="J122" s="63" t="s">
        <v>1285</v>
      </c>
      <c r="K122" s="16" t="s">
        <v>57</v>
      </c>
      <c r="L122" s="58" t="s">
        <v>1</v>
      </c>
      <c r="M122" s="58" t="s">
        <v>164</v>
      </c>
      <c r="N122" s="58" t="s">
        <v>1</v>
      </c>
      <c r="O122" s="58" t="s">
        <v>164</v>
      </c>
      <c r="P122" s="58" t="s">
        <v>1</v>
      </c>
      <c r="Q122" s="58" t="s">
        <v>164</v>
      </c>
      <c r="R122" s="58" t="s">
        <v>1</v>
      </c>
      <c r="S122" s="58" t="s">
        <v>164</v>
      </c>
      <c r="T122" s="50" t="s">
        <v>1163</v>
      </c>
      <c r="U122" s="51" t="s">
        <v>1163</v>
      </c>
      <c r="V122" s="50" t="s">
        <v>1163</v>
      </c>
      <c r="W122" s="51" t="s">
        <v>1163</v>
      </c>
      <c r="X122" s="17" t="s">
        <v>1163</v>
      </c>
      <c r="Y122" s="21" t="s">
        <v>1163</v>
      </c>
    </row>
    <row r="123" spans="1:26" s="18" customFormat="1" x14ac:dyDescent="0.3">
      <c r="A123" s="11" t="s">
        <v>1286</v>
      </c>
      <c r="B123" s="12">
        <v>1415</v>
      </c>
      <c r="C123" s="23" t="s">
        <v>958</v>
      </c>
      <c r="D123" s="23" t="s">
        <v>959</v>
      </c>
      <c r="E123" s="22" t="s">
        <v>998</v>
      </c>
      <c r="F123" s="24">
        <v>46034</v>
      </c>
      <c r="G123" s="22" t="s">
        <v>845</v>
      </c>
      <c r="H123" s="22" t="s">
        <v>969</v>
      </c>
      <c r="I123" s="22" t="s">
        <v>7</v>
      </c>
      <c r="J123" s="22" t="s">
        <v>498</v>
      </c>
      <c r="K123" s="16" t="s">
        <v>63</v>
      </c>
      <c r="L123" s="58" t="s">
        <v>1</v>
      </c>
      <c r="M123" s="58" t="s">
        <v>164</v>
      </c>
      <c r="N123" s="58" t="s">
        <v>1</v>
      </c>
      <c r="O123" s="58" t="s">
        <v>164</v>
      </c>
      <c r="P123" s="58" t="s">
        <v>1</v>
      </c>
      <c r="Q123" s="58" t="s">
        <v>164</v>
      </c>
      <c r="R123" s="58" t="s">
        <v>1</v>
      </c>
      <c r="S123" s="58" t="s">
        <v>164</v>
      </c>
      <c r="T123" s="58" t="s">
        <v>1</v>
      </c>
      <c r="U123" s="58" t="s">
        <v>164</v>
      </c>
      <c r="V123" s="50" t="s">
        <v>1</v>
      </c>
      <c r="W123" s="51" t="s">
        <v>813</v>
      </c>
      <c r="X123" s="17" t="s">
        <v>1163</v>
      </c>
      <c r="Y123" s="21" t="s">
        <v>1163</v>
      </c>
    </row>
    <row r="124" spans="1:26" s="18" customFormat="1" x14ac:dyDescent="0.3">
      <c r="A124" s="11" t="s">
        <v>1286</v>
      </c>
      <c r="B124" s="12">
        <v>1416</v>
      </c>
      <c r="C124" s="13" t="s">
        <v>960</v>
      </c>
      <c r="D124" s="13" t="s">
        <v>991</v>
      </c>
      <c r="E124" s="8" t="s">
        <v>999</v>
      </c>
      <c r="F124" s="14">
        <v>46034</v>
      </c>
      <c r="G124" s="8" t="s">
        <v>845</v>
      </c>
      <c r="H124" s="8" t="s">
        <v>970</v>
      </c>
      <c r="I124" s="8" t="s">
        <v>5</v>
      </c>
      <c r="J124" s="8" t="s">
        <v>961</v>
      </c>
      <c r="K124" s="16" t="s">
        <v>39</v>
      </c>
      <c r="L124" s="58" t="s">
        <v>1</v>
      </c>
      <c r="M124" s="58" t="s">
        <v>164</v>
      </c>
      <c r="N124" s="58" t="s">
        <v>1</v>
      </c>
      <c r="O124" s="58" t="s">
        <v>164</v>
      </c>
      <c r="P124" s="58" t="s">
        <v>1</v>
      </c>
      <c r="Q124" s="58" t="s">
        <v>164</v>
      </c>
      <c r="R124" s="58" t="s">
        <v>1</v>
      </c>
      <c r="S124" s="58" t="s">
        <v>164</v>
      </c>
      <c r="T124" s="58" t="s">
        <v>1</v>
      </c>
      <c r="U124" s="58" t="s">
        <v>164</v>
      </c>
      <c r="V124" s="50" t="s">
        <v>1</v>
      </c>
      <c r="W124" s="51" t="s">
        <v>813</v>
      </c>
      <c r="X124" s="17" t="s">
        <v>1163</v>
      </c>
      <c r="Y124" s="21" t="s">
        <v>1163</v>
      </c>
    </row>
    <row r="125" spans="1:26" s="18" customFormat="1" x14ac:dyDescent="0.3">
      <c r="A125" s="11" t="s">
        <v>1286</v>
      </c>
      <c r="B125" s="12">
        <v>1421</v>
      </c>
      <c r="C125" s="23" t="s">
        <v>963</v>
      </c>
      <c r="D125" s="23" t="s">
        <v>640</v>
      </c>
      <c r="E125" s="22" t="s">
        <v>1001</v>
      </c>
      <c r="F125" s="24">
        <v>46034</v>
      </c>
      <c r="G125" s="22" t="s">
        <v>845</v>
      </c>
      <c r="H125" s="22" t="s">
        <v>972</v>
      </c>
      <c r="I125" s="15" t="s">
        <v>51</v>
      </c>
      <c r="J125" s="22" t="s">
        <v>964</v>
      </c>
      <c r="K125" s="16" t="s">
        <v>52</v>
      </c>
      <c r="L125" s="58" t="s">
        <v>1</v>
      </c>
      <c r="M125" s="58" t="s">
        <v>164</v>
      </c>
      <c r="N125" s="58" t="s">
        <v>1</v>
      </c>
      <c r="O125" s="58" t="s">
        <v>164</v>
      </c>
      <c r="P125" s="58" t="s">
        <v>1</v>
      </c>
      <c r="Q125" s="58" t="s">
        <v>164</v>
      </c>
      <c r="R125" s="58" t="s">
        <v>1</v>
      </c>
      <c r="S125" s="58" t="s">
        <v>164</v>
      </c>
      <c r="T125" s="58" t="s">
        <v>1</v>
      </c>
      <c r="U125" s="58" t="s">
        <v>164</v>
      </c>
      <c r="V125" s="50" t="s">
        <v>1</v>
      </c>
      <c r="W125" s="51" t="s">
        <v>813</v>
      </c>
      <c r="X125" s="17" t="s">
        <v>1163</v>
      </c>
      <c r="Y125" s="21" t="s">
        <v>1163</v>
      </c>
    </row>
    <row r="126" spans="1:26" s="18" customFormat="1" x14ac:dyDescent="0.3">
      <c r="A126" s="11" t="s">
        <v>1286</v>
      </c>
      <c r="B126" s="12"/>
      <c r="C126" s="13" t="s">
        <v>1042</v>
      </c>
      <c r="D126" s="13" t="s">
        <v>1004</v>
      </c>
      <c r="E126" s="8" t="s">
        <v>1076</v>
      </c>
      <c r="F126" s="14">
        <v>46077</v>
      </c>
      <c r="G126" s="8" t="s">
        <v>845</v>
      </c>
      <c r="H126" s="8" t="s">
        <v>1058</v>
      </c>
      <c r="I126" s="8" t="s">
        <v>51</v>
      </c>
      <c r="J126" s="8" t="s">
        <v>1040</v>
      </c>
      <c r="K126" s="8" t="s">
        <v>57</v>
      </c>
      <c r="L126" s="58" t="s">
        <v>1</v>
      </c>
      <c r="M126" s="58" t="s">
        <v>164</v>
      </c>
      <c r="N126" s="58" t="s">
        <v>1</v>
      </c>
      <c r="O126" s="58" t="s">
        <v>164</v>
      </c>
      <c r="P126" s="58" t="s">
        <v>1</v>
      </c>
      <c r="Q126" s="58" t="s">
        <v>164</v>
      </c>
      <c r="R126" s="58" t="s">
        <v>1</v>
      </c>
      <c r="S126" s="58" t="s">
        <v>164</v>
      </c>
      <c r="T126" s="58" t="s">
        <v>1</v>
      </c>
      <c r="U126" s="58" t="s">
        <v>164</v>
      </c>
      <c r="V126" s="50" t="s">
        <v>1</v>
      </c>
      <c r="W126" s="51" t="s">
        <v>813</v>
      </c>
      <c r="X126" s="17" t="s">
        <v>1163</v>
      </c>
      <c r="Y126" s="21" t="s">
        <v>1163</v>
      </c>
    </row>
    <row r="127" spans="1:26" x14ac:dyDescent="0.3">
      <c r="A127" s="11" t="s">
        <v>1286</v>
      </c>
      <c r="B127" s="12"/>
      <c r="C127" s="23" t="s">
        <v>914</v>
      </c>
      <c r="D127" s="23" t="s">
        <v>350</v>
      </c>
      <c r="E127" s="22" t="s">
        <v>1077</v>
      </c>
      <c r="F127" s="24">
        <v>46077</v>
      </c>
      <c r="G127" s="22" t="s">
        <v>845</v>
      </c>
      <c r="H127" s="22" t="s">
        <v>1059</v>
      </c>
      <c r="I127" s="22" t="s">
        <v>7</v>
      </c>
      <c r="J127" s="22" t="s">
        <v>571</v>
      </c>
      <c r="K127" s="16" t="s">
        <v>63</v>
      </c>
      <c r="L127" s="58" t="s">
        <v>1</v>
      </c>
      <c r="M127" s="58" t="s">
        <v>164</v>
      </c>
      <c r="N127" s="58" t="s">
        <v>1</v>
      </c>
      <c r="O127" s="58" t="s">
        <v>164</v>
      </c>
      <c r="P127" s="58" t="s">
        <v>1</v>
      </c>
      <c r="Q127" s="58" t="s">
        <v>164</v>
      </c>
      <c r="R127" s="58" t="s">
        <v>1</v>
      </c>
      <c r="S127" s="58" t="s">
        <v>164</v>
      </c>
      <c r="T127" s="58" t="s">
        <v>1</v>
      </c>
      <c r="U127" s="58" t="s">
        <v>164</v>
      </c>
      <c r="V127" s="50" t="s">
        <v>1</v>
      </c>
      <c r="W127" s="51" t="s">
        <v>813</v>
      </c>
      <c r="X127" s="17" t="s">
        <v>1163</v>
      </c>
      <c r="Y127" s="21" t="s">
        <v>1163</v>
      </c>
      <c r="Z127" s="18"/>
    </row>
    <row r="128" spans="1:26" x14ac:dyDescent="0.3">
      <c r="A128" s="11" t="s">
        <v>1286</v>
      </c>
      <c r="B128" s="12"/>
      <c r="C128" s="13" t="s">
        <v>1043</v>
      </c>
      <c r="D128" s="13" t="s">
        <v>1044</v>
      </c>
      <c r="E128" s="8" t="s">
        <v>1078</v>
      </c>
      <c r="F128" s="14">
        <v>46077</v>
      </c>
      <c r="G128" s="8" t="s">
        <v>845</v>
      </c>
      <c r="H128" s="8" t="s">
        <v>1060</v>
      </c>
      <c r="I128" s="22" t="s">
        <v>5</v>
      </c>
      <c r="J128" s="8" t="s">
        <v>415</v>
      </c>
      <c r="K128" s="16" t="s">
        <v>50</v>
      </c>
      <c r="L128" s="58" t="s">
        <v>1</v>
      </c>
      <c r="M128" s="58" t="s">
        <v>164</v>
      </c>
      <c r="N128" s="58" t="s">
        <v>1</v>
      </c>
      <c r="O128" s="58" t="s">
        <v>164</v>
      </c>
      <c r="P128" s="58" t="s">
        <v>1</v>
      </c>
      <c r="Q128" s="58" t="s">
        <v>164</v>
      </c>
      <c r="R128" s="58" t="s">
        <v>1</v>
      </c>
      <c r="S128" s="58" t="s">
        <v>164</v>
      </c>
      <c r="T128" s="58" t="s">
        <v>1</v>
      </c>
      <c r="U128" s="58" t="s">
        <v>164</v>
      </c>
      <c r="V128" s="50" t="s">
        <v>1</v>
      </c>
      <c r="W128" s="51" t="s">
        <v>813</v>
      </c>
      <c r="X128" s="17" t="s">
        <v>1163</v>
      </c>
      <c r="Y128" s="21" t="s">
        <v>1163</v>
      </c>
      <c r="Z128" s="18"/>
    </row>
    <row r="129" spans="1:26" s="18" customFormat="1" x14ac:dyDescent="0.3">
      <c r="A129" s="11" t="s">
        <v>1286</v>
      </c>
      <c r="B129" s="12"/>
      <c r="C129" s="23" t="s">
        <v>659</v>
      </c>
      <c r="D129" s="23" t="s">
        <v>581</v>
      </c>
      <c r="E129" s="22" t="s">
        <v>1087</v>
      </c>
      <c r="F129" s="24">
        <v>46077</v>
      </c>
      <c r="G129" s="22" t="s">
        <v>845</v>
      </c>
      <c r="H129" s="22" t="s">
        <v>1072</v>
      </c>
      <c r="I129" s="22" t="s">
        <v>51</v>
      </c>
      <c r="J129" s="22" t="s">
        <v>1073</v>
      </c>
      <c r="K129" s="16" t="s">
        <v>52</v>
      </c>
      <c r="L129" s="58" t="s">
        <v>1</v>
      </c>
      <c r="M129" s="58" t="s">
        <v>164</v>
      </c>
      <c r="N129" s="58" t="s">
        <v>1</v>
      </c>
      <c r="O129" s="58" t="s">
        <v>164</v>
      </c>
      <c r="P129" s="58" t="s">
        <v>1</v>
      </c>
      <c r="Q129" s="58" t="s">
        <v>164</v>
      </c>
      <c r="R129" s="58" t="s">
        <v>1</v>
      </c>
      <c r="S129" s="58" t="s">
        <v>164</v>
      </c>
      <c r="T129" s="58" t="s">
        <v>1</v>
      </c>
      <c r="U129" s="58" t="s">
        <v>164</v>
      </c>
      <c r="V129" s="50" t="s">
        <v>1</v>
      </c>
      <c r="W129" s="51" t="s">
        <v>813</v>
      </c>
      <c r="X129" s="17" t="s">
        <v>1163</v>
      </c>
      <c r="Y129" s="21" t="s">
        <v>1163</v>
      </c>
    </row>
    <row r="130" spans="1:26" s="18" customFormat="1" x14ac:dyDescent="0.3">
      <c r="A130" s="11" t="s">
        <v>1286</v>
      </c>
      <c r="B130" s="12"/>
      <c r="C130" s="13" t="s">
        <v>1119</v>
      </c>
      <c r="D130" s="13" t="s">
        <v>240</v>
      </c>
      <c r="E130" s="8" t="s">
        <v>1126</v>
      </c>
      <c r="F130" s="14">
        <v>46111</v>
      </c>
      <c r="G130" s="8" t="s">
        <v>845</v>
      </c>
      <c r="H130" s="34" t="s">
        <v>1197</v>
      </c>
      <c r="I130" s="8" t="s">
        <v>59</v>
      </c>
      <c r="J130" s="54" t="s">
        <v>635</v>
      </c>
      <c r="K130" s="16" t="s">
        <v>1120</v>
      </c>
      <c r="L130" s="58" t="s">
        <v>1</v>
      </c>
      <c r="M130" s="58" t="s">
        <v>164</v>
      </c>
      <c r="N130" s="58" t="s">
        <v>1</v>
      </c>
      <c r="O130" s="58" t="s">
        <v>164</v>
      </c>
      <c r="P130" s="58" t="s">
        <v>1</v>
      </c>
      <c r="Q130" s="58" t="s">
        <v>164</v>
      </c>
      <c r="R130" s="58" t="s">
        <v>1</v>
      </c>
      <c r="S130" s="58" t="s">
        <v>164</v>
      </c>
      <c r="T130" s="50" t="s">
        <v>1163</v>
      </c>
      <c r="U130" s="51" t="s">
        <v>1163</v>
      </c>
      <c r="V130" s="50" t="s">
        <v>1163</v>
      </c>
      <c r="W130" s="51" t="s">
        <v>1163</v>
      </c>
      <c r="X130" s="17" t="s">
        <v>1163</v>
      </c>
      <c r="Y130" s="21" t="s">
        <v>1163</v>
      </c>
    </row>
    <row r="131" spans="1:26" s="18" customFormat="1" x14ac:dyDescent="0.3">
      <c r="A131" s="11" t="s">
        <v>1286</v>
      </c>
      <c r="B131" s="12"/>
      <c r="C131" s="23" t="s">
        <v>1121</v>
      </c>
      <c r="D131" s="23" t="s">
        <v>1122</v>
      </c>
      <c r="E131" s="22" t="s">
        <v>1125</v>
      </c>
      <c r="F131" s="24">
        <v>46111</v>
      </c>
      <c r="G131" s="22" t="s">
        <v>845</v>
      </c>
      <c r="H131" s="22" t="s">
        <v>1123</v>
      </c>
      <c r="I131" s="22" t="s">
        <v>51</v>
      </c>
      <c r="J131" s="22" t="s">
        <v>72</v>
      </c>
      <c r="K131" s="16" t="s">
        <v>1124</v>
      </c>
      <c r="L131" s="58" t="s">
        <v>1</v>
      </c>
      <c r="M131" s="58" t="s">
        <v>164</v>
      </c>
      <c r="N131" s="58" t="s">
        <v>1</v>
      </c>
      <c r="O131" s="58" t="s">
        <v>164</v>
      </c>
      <c r="P131" s="58" t="s">
        <v>1</v>
      </c>
      <c r="Q131" s="58" t="s">
        <v>164</v>
      </c>
      <c r="R131" s="58" t="s">
        <v>1</v>
      </c>
      <c r="S131" s="58" t="s">
        <v>164</v>
      </c>
      <c r="T131" s="58" t="s">
        <v>1</v>
      </c>
      <c r="U131" s="58" t="s">
        <v>164</v>
      </c>
      <c r="V131" s="50" t="s">
        <v>1</v>
      </c>
      <c r="W131" s="51" t="s">
        <v>813</v>
      </c>
      <c r="X131" s="17" t="s">
        <v>1163</v>
      </c>
      <c r="Y131" s="21" t="s">
        <v>1163</v>
      </c>
    </row>
    <row r="132" spans="1:26" s="18" customFormat="1" x14ac:dyDescent="0.3">
      <c r="A132" s="11" t="s">
        <v>1286</v>
      </c>
      <c r="B132" s="12">
        <v>1419</v>
      </c>
      <c r="C132" s="23" t="s">
        <v>1130</v>
      </c>
      <c r="D132" s="23" t="s">
        <v>1131</v>
      </c>
      <c r="E132" s="22" t="s">
        <v>1132</v>
      </c>
      <c r="F132" s="24">
        <v>46034</v>
      </c>
      <c r="G132" s="22" t="s">
        <v>845</v>
      </c>
      <c r="H132" s="22" t="s">
        <v>1133</v>
      </c>
      <c r="I132" s="22" t="s">
        <v>51</v>
      </c>
      <c r="J132" s="22" t="s">
        <v>1106</v>
      </c>
      <c r="K132" s="16" t="s">
        <v>52</v>
      </c>
      <c r="L132" s="58" t="s">
        <v>1</v>
      </c>
      <c r="M132" s="58" t="s">
        <v>164</v>
      </c>
      <c r="N132" s="58" t="s">
        <v>1</v>
      </c>
      <c r="O132" s="58" t="s">
        <v>164</v>
      </c>
      <c r="P132" s="58" t="s">
        <v>1</v>
      </c>
      <c r="Q132" s="58" t="s">
        <v>164</v>
      </c>
      <c r="R132" s="58" t="s">
        <v>1</v>
      </c>
      <c r="S132" s="58" t="s">
        <v>164</v>
      </c>
      <c r="T132" s="58" t="s">
        <v>1</v>
      </c>
      <c r="U132" s="58" t="s">
        <v>164</v>
      </c>
      <c r="V132" s="50" t="s">
        <v>1</v>
      </c>
      <c r="W132" s="51" t="s">
        <v>813</v>
      </c>
      <c r="X132" s="17" t="s">
        <v>1163</v>
      </c>
      <c r="Y132" s="21" t="s">
        <v>1163</v>
      </c>
    </row>
    <row r="133" spans="1:26" s="18" customFormat="1" x14ac:dyDescent="0.3">
      <c r="A133" s="11" t="s">
        <v>1286</v>
      </c>
      <c r="B133" s="12"/>
      <c r="C133" s="39" t="s">
        <v>1135</v>
      </c>
      <c r="D133" s="39" t="s">
        <v>1136</v>
      </c>
      <c r="E133" s="39" t="s">
        <v>1137</v>
      </c>
      <c r="F133" s="14">
        <v>46111</v>
      </c>
      <c r="G133" s="8" t="s">
        <v>845</v>
      </c>
      <c r="H133" s="8" t="s">
        <v>1134</v>
      </c>
      <c r="I133" s="8" t="s">
        <v>59</v>
      </c>
      <c r="J133" s="8" t="s">
        <v>1040</v>
      </c>
      <c r="K133" s="16" t="s">
        <v>1120</v>
      </c>
      <c r="L133" s="58" t="s">
        <v>1</v>
      </c>
      <c r="M133" s="58" t="s">
        <v>164</v>
      </c>
      <c r="N133" s="58" t="s">
        <v>1</v>
      </c>
      <c r="O133" s="58" t="s">
        <v>164</v>
      </c>
      <c r="P133" s="58" t="s">
        <v>1</v>
      </c>
      <c r="Q133" s="58" t="s">
        <v>164</v>
      </c>
      <c r="R133" s="58" t="s">
        <v>1</v>
      </c>
      <c r="S133" s="58" t="s">
        <v>164</v>
      </c>
      <c r="T133" s="58" t="s">
        <v>1</v>
      </c>
      <c r="U133" s="58" t="s">
        <v>164</v>
      </c>
      <c r="V133" s="50" t="s">
        <v>1</v>
      </c>
      <c r="W133" s="51" t="s">
        <v>813</v>
      </c>
      <c r="X133" s="17" t="s">
        <v>1163</v>
      </c>
      <c r="Y133" s="21" t="s">
        <v>1163</v>
      </c>
    </row>
    <row r="134" spans="1:26" s="18" customFormat="1" x14ac:dyDescent="0.3">
      <c r="A134" s="11" t="s">
        <v>1286</v>
      </c>
      <c r="B134" s="12">
        <v>1149</v>
      </c>
      <c r="C134" s="23" t="s">
        <v>626</v>
      </c>
      <c r="D134" s="23" t="s">
        <v>627</v>
      </c>
      <c r="E134" s="22" t="s">
        <v>628</v>
      </c>
      <c r="F134" s="24">
        <v>45805</v>
      </c>
      <c r="G134" s="22" t="s">
        <v>941</v>
      </c>
      <c r="H134" s="22" t="s">
        <v>679</v>
      </c>
      <c r="I134" s="22" t="s">
        <v>51</v>
      </c>
      <c r="J134" s="22" t="s">
        <v>854</v>
      </c>
      <c r="K134" s="16" t="s">
        <v>52</v>
      </c>
      <c r="L134" s="58" t="s">
        <v>2</v>
      </c>
      <c r="M134" s="58" t="s">
        <v>137</v>
      </c>
      <c r="N134" s="58" t="s">
        <v>2</v>
      </c>
      <c r="O134" s="58" t="s">
        <v>137</v>
      </c>
      <c r="P134" s="58" t="s">
        <v>2</v>
      </c>
      <c r="Q134" s="58" t="s">
        <v>137</v>
      </c>
      <c r="R134" s="58" t="s">
        <v>2</v>
      </c>
      <c r="S134" s="58" t="s">
        <v>138</v>
      </c>
      <c r="T134" s="58" t="s">
        <v>2</v>
      </c>
      <c r="U134" s="58" t="s">
        <v>137</v>
      </c>
      <c r="V134" s="50" t="s">
        <v>1163</v>
      </c>
      <c r="W134" s="50" t="s">
        <v>1163</v>
      </c>
      <c r="X134" s="17" t="s">
        <v>1163</v>
      </c>
      <c r="Y134" s="17" t="s">
        <v>1163</v>
      </c>
    </row>
    <row r="135" spans="1:26" x14ac:dyDescent="0.3">
      <c r="A135" s="11" t="s">
        <v>1286</v>
      </c>
      <c r="B135" s="12">
        <v>1252</v>
      </c>
      <c r="C135" s="13" t="s">
        <v>712</v>
      </c>
      <c r="D135" s="13" t="s">
        <v>86</v>
      </c>
      <c r="E135" s="8" t="s">
        <v>713</v>
      </c>
      <c r="F135" s="14">
        <v>45895</v>
      </c>
      <c r="G135" s="8" t="s">
        <v>941</v>
      </c>
      <c r="H135" s="8" t="s">
        <v>714</v>
      </c>
      <c r="I135" s="8" t="s">
        <v>51</v>
      </c>
      <c r="J135" s="8" t="s">
        <v>878</v>
      </c>
      <c r="K135" s="16" t="s">
        <v>142</v>
      </c>
      <c r="L135" s="58" t="s">
        <v>1</v>
      </c>
      <c r="M135" s="58" t="s">
        <v>138</v>
      </c>
      <c r="N135" s="58" t="s">
        <v>1</v>
      </c>
      <c r="O135" s="58" t="s">
        <v>138</v>
      </c>
      <c r="P135" s="58" t="s">
        <v>1</v>
      </c>
      <c r="Q135" s="58" t="s">
        <v>138</v>
      </c>
      <c r="R135" s="58" t="s">
        <v>1</v>
      </c>
      <c r="S135" s="58" t="s">
        <v>164</v>
      </c>
      <c r="T135" s="58" t="s">
        <v>1</v>
      </c>
      <c r="U135" s="58" t="s">
        <v>138</v>
      </c>
      <c r="V135" s="50" t="s">
        <v>1163</v>
      </c>
      <c r="W135" s="50" t="s">
        <v>1163</v>
      </c>
      <c r="X135" s="17" t="s">
        <v>1163</v>
      </c>
      <c r="Y135" s="17" t="s">
        <v>1163</v>
      </c>
      <c r="Z135" s="18"/>
    </row>
    <row r="136" spans="1:26" x14ac:dyDescent="0.3">
      <c r="A136" s="11" t="s">
        <v>1286</v>
      </c>
      <c r="B136" s="12"/>
      <c r="C136" s="23" t="s">
        <v>942</v>
      </c>
      <c r="D136" s="23" t="s">
        <v>701</v>
      </c>
      <c r="E136" s="22" t="s">
        <v>943</v>
      </c>
      <c r="F136" s="24">
        <v>46020</v>
      </c>
      <c r="G136" s="22" t="s">
        <v>941</v>
      </c>
      <c r="H136" s="22" t="s">
        <v>944</v>
      </c>
      <c r="I136" s="22" t="s">
        <v>51</v>
      </c>
      <c r="J136" s="22" t="s">
        <v>945</v>
      </c>
      <c r="K136" s="16" t="s">
        <v>57</v>
      </c>
      <c r="L136" s="58" t="s">
        <v>2</v>
      </c>
      <c r="M136" s="58" t="s">
        <v>137</v>
      </c>
      <c r="N136" s="58" t="s">
        <v>2</v>
      </c>
      <c r="O136" s="58" t="s">
        <v>137</v>
      </c>
      <c r="P136" s="58" t="s">
        <v>2</v>
      </c>
      <c r="Q136" s="58" t="s">
        <v>137</v>
      </c>
      <c r="R136" s="58" t="s">
        <v>2</v>
      </c>
      <c r="S136" s="58" t="s">
        <v>137</v>
      </c>
      <c r="T136" s="58" t="s">
        <v>2</v>
      </c>
      <c r="U136" s="58" t="s">
        <v>138</v>
      </c>
      <c r="V136" s="50" t="s">
        <v>1163</v>
      </c>
      <c r="W136" s="50" t="s">
        <v>1163</v>
      </c>
      <c r="X136" s="17" t="s">
        <v>1163</v>
      </c>
      <c r="Y136" s="17" t="s">
        <v>1163</v>
      </c>
      <c r="Z136" s="18"/>
    </row>
    <row r="137" spans="1:26" x14ac:dyDescent="0.3">
      <c r="A137" s="11" t="s">
        <v>1286</v>
      </c>
      <c r="B137" s="12"/>
      <c r="C137" s="13" t="s">
        <v>814</v>
      </c>
      <c r="D137" s="13" t="s">
        <v>946</v>
      </c>
      <c r="E137" s="8" t="s">
        <v>947</v>
      </c>
      <c r="F137" s="14">
        <v>46020</v>
      </c>
      <c r="G137" s="8" t="s">
        <v>749</v>
      </c>
      <c r="H137" s="8" t="s">
        <v>948</v>
      </c>
      <c r="I137" s="8" t="s">
        <v>5</v>
      </c>
      <c r="J137" s="8" t="s">
        <v>990</v>
      </c>
      <c r="K137" s="16" t="s">
        <v>39</v>
      </c>
      <c r="L137" s="58" t="s">
        <v>2</v>
      </c>
      <c r="M137" s="58" t="s">
        <v>138</v>
      </c>
      <c r="N137" s="58" t="s">
        <v>4</v>
      </c>
      <c r="O137" s="58" t="s">
        <v>147</v>
      </c>
      <c r="P137" s="58" t="s">
        <v>1163</v>
      </c>
      <c r="Q137" s="58" t="s">
        <v>1163</v>
      </c>
      <c r="R137" s="58" t="s">
        <v>1163</v>
      </c>
      <c r="S137" s="58" t="s">
        <v>1163</v>
      </c>
      <c r="T137" s="58" t="s">
        <v>1163</v>
      </c>
      <c r="U137" s="58" t="s">
        <v>1163</v>
      </c>
      <c r="V137" s="50" t="s">
        <v>1163</v>
      </c>
      <c r="W137" s="50" t="s">
        <v>1163</v>
      </c>
      <c r="X137" s="17" t="s">
        <v>1163</v>
      </c>
      <c r="Y137" s="17" t="s">
        <v>1163</v>
      </c>
      <c r="Z137" s="18"/>
    </row>
    <row r="138" spans="1:26" x14ac:dyDescent="0.3">
      <c r="A138" s="11" t="s">
        <v>1286</v>
      </c>
      <c r="B138" s="12">
        <v>369</v>
      </c>
      <c r="C138" s="13" t="s">
        <v>178</v>
      </c>
      <c r="D138" s="13" t="s">
        <v>86</v>
      </c>
      <c r="E138" s="8" t="s">
        <v>179</v>
      </c>
      <c r="F138" s="14">
        <v>44272</v>
      </c>
      <c r="G138" s="8" t="s">
        <v>180</v>
      </c>
      <c r="H138" s="8" t="s">
        <v>181</v>
      </c>
      <c r="I138" s="8" t="s">
        <v>5</v>
      </c>
      <c r="J138" s="8" t="s">
        <v>182</v>
      </c>
      <c r="K138" s="11" t="s">
        <v>50</v>
      </c>
      <c r="L138" s="58" t="s">
        <v>1</v>
      </c>
      <c r="M138" s="58" t="s">
        <v>164</v>
      </c>
      <c r="N138" s="58" t="s">
        <v>1</v>
      </c>
      <c r="O138" s="58" t="s">
        <v>164</v>
      </c>
      <c r="P138" s="58" t="s">
        <v>1</v>
      </c>
      <c r="Q138" s="58" t="s">
        <v>164</v>
      </c>
      <c r="R138" s="58" t="s">
        <v>1</v>
      </c>
      <c r="S138" s="58" t="s">
        <v>164</v>
      </c>
      <c r="T138" s="17" t="s">
        <v>1163</v>
      </c>
      <c r="U138" s="17" t="s">
        <v>1163</v>
      </c>
      <c r="V138" s="58" t="s">
        <v>1</v>
      </c>
      <c r="W138" s="58" t="s">
        <v>164</v>
      </c>
      <c r="X138" s="17" t="s">
        <v>1163</v>
      </c>
      <c r="Y138" s="21" t="s">
        <v>1163</v>
      </c>
    </row>
    <row r="139" spans="1:26" x14ac:dyDescent="0.3">
      <c r="A139" s="11" t="s">
        <v>1286</v>
      </c>
      <c r="B139" s="12">
        <v>249</v>
      </c>
      <c r="C139" s="23" t="s">
        <v>218</v>
      </c>
      <c r="D139" s="23" t="s">
        <v>73</v>
      </c>
      <c r="E139" s="22" t="s">
        <v>219</v>
      </c>
      <c r="F139" s="24">
        <v>44032</v>
      </c>
      <c r="G139" s="22" t="s">
        <v>180</v>
      </c>
      <c r="H139" s="22" t="s">
        <v>549</v>
      </c>
      <c r="I139" s="22" t="s">
        <v>51</v>
      </c>
      <c r="J139" s="22" t="s">
        <v>949</v>
      </c>
      <c r="K139" s="11" t="s">
        <v>52</v>
      </c>
      <c r="L139" s="58" t="s">
        <v>2</v>
      </c>
      <c r="M139" s="58" t="s">
        <v>138</v>
      </c>
      <c r="N139" s="58" t="s">
        <v>2</v>
      </c>
      <c r="O139" s="58" t="s">
        <v>138</v>
      </c>
      <c r="P139" s="58" t="s">
        <v>2</v>
      </c>
      <c r="Q139" s="58" t="s">
        <v>138</v>
      </c>
      <c r="R139" s="58" t="s">
        <v>2</v>
      </c>
      <c r="S139" s="58" t="s">
        <v>138</v>
      </c>
      <c r="T139" s="58" t="s">
        <v>2</v>
      </c>
      <c r="U139" s="58" t="s">
        <v>138</v>
      </c>
      <c r="V139" s="17" t="s">
        <v>1163</v>
      </c>
      <c r="W139" s="17" t="s">
        <v>1163</v>
      </c>
      <c r="X139" s="17" t="s">
        <v>1163</v>
      </c>
      <c r="Y139" s="21" t="s">
        <v>1163</v>
      </c>
    </row>
    <row r="140" spans="1:26" x14ac:dyDescent="0.3">
      <c r="A140" s="11" t="s">
        <v>1286</v>
      </c>
      <c r="B140" s="12">
        <v>215</v>
      </c>
      <c r="C140" s="23" t="s">
        <v>274</v>
      </c>
      <c r="D140" s="23" t="s">
        <v>85</v>
      </c>
      <c r="E140" s="22" t="s">
        <v>275</v>
      </c>
      <c r="F140" s="24">
        <v>43864</v>
      </c>
      <c r="G140" s="22" t="s">
        <v>180</v>
      </c>
      <c r="H140" s="22" t="s">
        <v>276</v>
      </c>
      <c r="I140" s="22" t="s">
        <v>5</v>
      </c>
      <c r="J140" s="22" t="s">
        <v>277</v>
      </c>
      <c r="K140" s="11" t="s">
        <v>50</v>
      </c>
      <c r="L140" s="58" t="s">
        <v>1163</v>
      </c>
      <c r="M140" s="58" t="s">
        <v>1163</v>
      </c>
      <c r="N140" s="58" t="s">
        <v>1163</v>
      </c>
      <c r="O140" s="58" t="s">
        <v>1163</v>
      </c>
      <c r="P140" s="58" t="s">
        <v>1163</v>
      </c>
      <c r="Q140" s="58" t="s">
        <v>1163</v>
      </c>
      <c r="R140" s="58" t="s">
        <v>1163</v>
      </c>
      <c r="S140" s="58" t="s">
        <v>1163</v>
      </c>
      <c r="T140" s="58" t="s">
        <v>1163</v>
      </c>
      <c r="U140" s="58" t="s">
        <v>1163</v>
      </c>
      <c r="V140" s="17" t="s">
        <v>1163</v>
      </c>
      <c r="W140" s="17" t="s">
        <v>1163</v>
      </c>
      <c r="X140" s="17" t="s">
        <v>1163</v>
      </c>
      <c r="Y140" s="21" t="s">
        <v>1163</v>
      </c>
    </row>
    <row r="141" spans="1:26" x14ac:dyDescent="0.3">
      <c r="A141" s="11" t="s">
        <v>1286</v>
      </c>
      <c r="B141" s="12">
        <v>953</v>
      </c>
      <c r="C141" s="13" t="s">
        <v>345</v>
      </c>
      <c r="D141" s="13" t="s">
        <v>346</v>
      </c>
      <c r="E141" s="8" t="s">
        <v>347</v>
      </c>
      <c r="F141" s="14">
        <v>45427</v>
      </c>
      <c r="G141" s="8" t="s">
        <v>180</v>
      </c>
      <c r="H141" s="8" t="s">
        <v>348</v>
      </c>
      <c r="I141" s="8" t="s">
        <v>51</v>
      </c>
      <c r="J141" s="8" t="s">
        <v>266</v>
      </c>
      <c r="K141" s="11" t="s">
        <v>52</v>
      </c>
      <c r="L141" s="58" t="s">
        <v>1</v>
      </c>
      <c r="M141" s="58" t="s">
        <v>138</v>
      </c>
      <c r="N141" s="58" t="s">
        <v>1</v>
      </c>
      <c r="O141" s="58" t="s">
        <v>138</v>
      </c>
      <c r="P141" s="58" t="s">
        <v>1163</v>
      </c>
      <c r="Q141" s="58" t="s">
        <v>1163</v>
      </c>
      <c r="R141" s="58" t="s">
        <v>1</v>
      </c>
      <c r="S141" s="58" t="s">
        <v>138</v>
      </c>
      <c r="T141" s="58" t="s">
        <v>1</v>
      </c>
      <c r="U141" s="58" t="s">
        <v>138</v>
      </c>
      <c r="V141" s="58" t="s">
        <v>2</v>
      </c>
      <c r="W141" s="58" t="s">
        <v>138</v>
      </c>
      <c r="X141" s="17" t="s">
        <v>1163</v>
      </c>
      <c r="Y141" s="21" t="s">
        <v>1163</v>
      </c>
    </row>
    <row r="142" spans="1:26" x14ac:dyDescent="0.3">
      <c r="A142" s="11" t="s">
        <v>1286</v>
      </c>
      <c r="B142" s="12">
        <v>1085</v>
      </c>
      <c r="C142" s="23" t="s">
        <v>472</v>
      </c>
      <c r="D142" s="23" t="s">
        <v>466</v>
      </c>
      <c r="E142" s="22" t="s">
        <v>467</v>
      </c>
      <c r="F142" s="24">
        <v>45692</v>
      </c>
      <c r="G142" s="33" t="s">
        <v>1215</v>
      </c>
      <c r="H142" s="22" t="s">
        <v>468</v>
      </c>
      <c r="I142" s="15" t="s">
        <v>7</v>
      </c>
      <c r="J142" s="22" t="s">
        <v>469</v>
      </c>
      <c r="K142" s="11" t="s">
        <v>63</v>
      </c>
      <c r="L142" s="58" t="s">
        <v>2</v>
      </c>
      <c r="M142" s="58" t="s">
        <v>138</v>
      </c>
      <c r="N142" s="58" t="s">
        <v>4</v>
      </c>
      <c r="O142" s="58" t="s">
        <v>147</v>
      </c>
      <c r="P142" s="58" t="s">
        <v>2</v>
      </c>
      <c r="Q142" s="58" t="s">
        <v>137</v>
      </c>
      <c r="R142" s="58" t="s">
        <v>2</v>
      </c>
      <c r="S142" s="58" t="s">
        <v>137</v>
      </c>
      <c r="T142" s="58" t="s">
        <v>2</v>
      </c>
      <c r="U142" s="58" t="s">
        <v>137</v>
      </c>
      <c r="V142" s="50" t="s">
        <v>1163</v>
      </c>
      <c r="W142" s="51" t="s">
        <v>1163</v>
      </c>
      <c r="X142" s="17" t="s">
        <v>1163</v>
      </c>
      <c r="Y142" s="21" t="s">
        <v>1163</v>
      </c>
    </row>
    <row r="143" spans="1:26" x14ac:dyDescent="0.3">
      <c r="A143" s="11" t="s">
        <v>1286</v>
      </c>
      <c r="B143" s="12">
        <v>1177</v>
      </c>
      <c r="C143" s="13" t="s">
        <v>319</v>
      </c>
      <c r="D143" s="13" t="s">
        <v>616</v>
      </c>
      <c r="E143" s="8" t="s">
        <v>617</v>
      </c>
      <c r="F143" s="14">
        <v>45805</v>
      </c>
      <c r="G143" s="8" t="s">
        <v>634</v>
      </c>
      <c r="H143" s="8" t="s">
        <v>618</v>
      </c>
      <c r="I143" s="8" t="s">
        <v>51</v>
      </c>
      <c r="J143" s="8" t="s">
        <v>266</v>
      </c>
      <c r="K143" s="11" t="s">
        <v>52</v>
      </c>
      <c r="L143" s="58" t="s">
        <v>1163</v>
      </c>
      <c r="M143" s="58" t="s">
        <v>1163</v>
      </c>
      <c r="N143" s="58" t="s">
        <v>1163</v>
      </c>
      <c r="O143" s="58" t="s">
        <v>1163</v>
      </c>
      <c r="P143" s="58" t="s">
        <v>1163</v>
      </c>
      <c r="Q143" s="58" t="s">
        <v>1163</v>
      </c>
      <c r="R143" s="58" t="s">
        <v>1163</v>
      </c>
      <c r="S143" s="58" t="s">
        <v>1163</v>
      </c>
      <c r="T143" s="58" t="s">
        <v>1163</v>
      </c>
      <c r="U143" s="58" t="s">
        <v>1163</v>
      </c>
      <c r="V143" s="50" t="s">
        <v>1163</v>
      </c>
      <c r="W143" s="51" t="s">
        <v>1163</v>
      </c>
      <c r="X143" s="17" t="s">
        <v>1163</v>
      </c>
      <c r="Y143" s="21" t="s">
        <v>1163</v>
      </c>
    </row>
    <row r="144" spans="1:26" x14ac:dyDescent="0.3">
      <c r="A144" s="11" t="s">
        <v>1286</v>
      </c>
      <c r="B144" s="12">
        <v>1202</v>
      </c>
      <c r="C144" s="23" t="s">
        <v>641</v>
      </c>
      <c r="D144" s="23" t="s">
        <v>111</v>
      </c>
      <c r="E144" s="22" t="s">
        <v>652</v>
      </c>
      <c r="F144" s="24">
        <v>45818</v>
      </c>
      <c r="G144" s="22" t="s">
        <v>634</v>
      </c>
      <c r="H144" s="22" t="s">
        <v>642</v>
      </c>
      <c r="I144" s="22" t="s">
        <v>6</v>
      </c>
      <c r="J144" s="22" t="s">
        <v>487</v>
      </c>
      <c r="K144" s="11" t="s">
        <v>62</v>
      </c>
      <c r="L144" s="58" t="s">
        <v>2</v>
      </c>
      <c r="M144" s="58" t="s">
        <v>137</v>
      </c>
      <c r="N144" s="58" t="s">
        <v>2</v>
      </c>
      <c r="O144" s="58" t="s">
        <v>137</v>
      </c>
      <c r="P144" s="58" t="s">
        <v>2</v>
      </c>
      <c r="Q144" s="58" t="s">
        <v>137</v>
      </c>
      <c r="R144" s="58" t="s">
        <v>2</v>
      </c>
      <c r="S144" s="58" t="s">
        <v>137</v>
      </c>
      <c r="T144" s="58" t="s">
        <v>2</v>
      </c>
      <c r="U144" s="58" t="s">
        <v>138</v>
      </c>
      <c r="V144" s="50" t="s">
        <v>1163</v>
      </c>
      <c r="W144" s="51" t="s">
        <v>1163</v>
      </c>
      <c r="X144" s="17" t="s">
        <v>1163</v>
      </c>
      <c r="Y144" s="21" t="s">
        <v>1163</v>
      </c>
    </row>
    <row r="145" spans="1:25" x14ac:dyDescent="0.3">
      <c r="A145" s="11" t="s">
        <v>1286</v>
      </c>
      <c r="B145" s="12">
        <v>1197</v>
      </c>
      <c r="C145" s="13" t="s">
        <v>636</v>
      </c>
      <c r="D145" s="13" t="s">
        <v>637</v>
      </c>
      <c r="E145" s="8" t="s">
        <v>638</v>
      </c>
      <c r="F145" s="14">
        <v>45818</v>
      </c>
      <c r="G145" s="8" t="s">
        <v>634</v>
      </c>
      <c r="H145" s="8" t="s">
        <v>639</v>
      </c>
      <c r="I145" s="28" t="s">
        <v>7</v>
      </c>
      <c r="J145" s="8" t="s">
        <v>1164</v>
      </c>
      <c r="K145" s="11" t="s">
        <v>63</v>
      </c>
      <c r="L145" s="58" t="s">
        <v>2</v>
      </c>
      <c r="M145" s="58" t="s">
        <v>137</v>
      </c>
      <c r="N145" s="58" t="s">
        <v>2</v>
      </c>
      <c r="O145" s="58" t="s">
        <v>137</v>
      </c>
      <c r="P145" s="58" t="s">
        <v>2</v>
      </c>
      <c r="Q145" s="58" t="s">
        <v>137</v>
      </c>
      <c r="R145" s="58" t="s">
        <v>2</v>
      </c>
      <c r="S145" s="58" t="s">
        <v>137</v>
      </c>
      <c r="T145" s="58" t="s">
        <v>2</v>
      </c>
      <c r="U145" s="58" t="s">
        <v>138</v>
      </c>
      <c r="V145" s="50" t="s">
        <v>1163</v>
      </c>
      <c r="W145" s="51" t="s">
        <v>1163</v>
      </c>
      <c r="X145" s="17" t="s">
        <v>1163</v>
      </c>
      <c r="Y145" s="21" t="s">
        <v>1163</v>
      </c>
    </row>
    <row r="146" spans="1:25" x14ac:dyDescent="0.3">
      <c r="A146" s="11" t="s">
        <v>1286</v>
      </c>
      <c r="B146" s="12">
        <v>1244</v>
      </c>
      <c r="C146" s="23" t="s">
        <v>696</v>
      </c>
      <c r="D146" s="23" t="s">
        <v>697</v>
      </c>
      <c r="E146" s="22" t="s">
        <v>698</v>
      </c>
      <c r="F146" s="24">
        <v>45887</v>
      </c>
      <c r="G146" s="22" t="s">
        <v>634</v>
      </c>
      <c r="H146" s="22" t="s">
        <v>699</v>
      </c>
      <c r="I146" s="22" t="s">
        <v>51</v>
      </c>
      <c r="J146" s="22" t="s">
        <v>473</v>
      </c>
      <c r="K146" s="11" t="s">
        <v>142</v>
      </c>
      <c r="L146" s="58" t="s">
        <v>2</v>
      </c>
      <c r="M146" s="58" t="s">
        <v>137</v>
      </c>
      <c r="N146" s="58" t="s">
        <v>2</v>
      </c>
      <c r="O146" s="58" t="s">
        <v>137</v>
      </c>
      <c r="P146" s="58" t="s">
        <v>2</v>
      </c>
      <c r="Q146" s="58" t="s">
        <v>137</v>
      </c>
      <c r="R146" s="58" t="s">
        <v>2</v>
      </c>
      <c r="S146" s="58" t="s">
        <v>137</v>
      </c>
      <c r="T146" s="58" t="s">
        <v>2</v>
      </c>
      <c r="U146" s="58" t="s">
        <v>138</v>
      </c>
      <c r="V146" s="50" t="s">
        <v>1163</v>
      </c>
      <c r="W146" s="51" t="s">
        <v>1163</v>
      </c>
      <c r="X146" s="17" t="s">
        <v>1163</v>
      </c>
      <c r="Y146" s="21" t="s">
        <v>1163</v>
      </c>
    </row>
    <row r="147" spans="1:25" x14ac:dyDescent="0.3">
      <c r="A147" s="11" t="s">
        <v>1286</v>
      </c>
      <c r="B147" s="12">
        <v>1245</v>
      </c>
      <c r="C147" s="13" t="s">
        <v>700</v>
      </c>
      <c r="D147" s="13" t="s">
        <v>701</v>
      </c>
      <c r="E147" s="8" t="s">
        <v>702</v>
      </c>
      <c r="F147" s="14">
        <v>45887</v>
      </c>
      <c r="G147" s="8" t="s">
        <v>634</v>
      </c>
      <c r="H147" s="8" t="s">
        <v>703</v>
      </c>
      <c r="I147" s="22" t="s">
        <v>6</v>
      </c>
      <c r="J147" s="8" t="s">
        <v>704</v>
      </c>
      <c r="K147" s="11" t="s">
        <v>62</v>
      </c>
      <c r="L147" s="58" t="s">
        <v>2</v>
      </c>
      <c r="M147" s="58" t="s">
        <v>137</v>
      </c>
      <c r="N147" s="58" t="s">
        <v>2</v>
      </c>
      <c r="O147" s="58" t="s">
        <v>137</v>
      </c>
      <c r="P147" s="58" t="s">
        <v>2</v>
      </c>
      <c r="Q147" s="58" t="s">
        <v>137</v>
      </c>
      <c r="R147" s="58" t="s">
        <v>2</v>
      </c>
      <c r="S147" s="58" t="s">
        <v>137</v>
      </c>
      <c r="T147" s="58" t="s">
        <v>2</v>
      </c>
      <c r="U147" s="58" t="s">
        <v>138</v>
      </c>
      <c r="V147" s="50" t="s">
        <v>1163</v>
      </c>
      <c r="W147" s="51" t="s">
        <v>1163</v>
      </c>
      <c r="X147" s="17" t="s">
        <v>1163</v>
      </c>
      <c r="Y147" s="21" t="s">
        <v>1163</v>
      </c>
    </row>
    <row r="148" spans="1:25" x14ac:dyDescent="0.3">
      <c r="A148" s="11" t="s">
        <v>1286</v>
      </c>
      <c r="B148" s="12">
        <v>1302</v>
      </c>
      <c r="C148" s="13" t="s">
        <v>815</v>
      </c>
      <c r="D148" s="13" t="s">
        <v>816</v>
      </c>
      <c r="E148" s="8" t="s">
        <v>817</v>
      </c>
      <c r="F148" s="14">
        <v>45952</v>
      </c>
      <c r="G148" s="8" t="s">
        <v>634</v>
      </c>
      <c r="H148" s="8" t="s">
        <v>818</v>
      </c>
      <c r="I148" s="28" t="s">
        <v>51</v>
      </c>
      <c r="J148" s="8" t="s">
        <v>320</v>
      </c>
      <c r="K148" s="11" t="s">
        <v>52</v>
      </c>
      <c r="L148" s="58" t="s">
        <v>2</v>
      </c>
      <c r="M148" s="58" t="s">
        <v>137</v>
      </c>
      <c r="N148" s="58" t="s">
        <v>2</v>
      </c>
      <c r="O148" s="58" t="s">
        <v>137</v>
      </c>
      <c r="P148" s="58" t="s">
        <v>2</v>
      </c>
      <c r="Q148" s="58" t="s">
        <v>137</v>
      </c>
      <c r="R148" s="58" t="s">
        <v>1163</v>
      </c>
      <c r="S148" s="58" t="s">
        <v>1163</v>
      </c>
      <c r="T148" s="58" t="s">
        <v>1163</v>
      </c>
      <c r="U148" s="58" t="s">
        <v>1163</v>
      </c>
      <c r="V148" s="50" t="s">
        <v>1163</v>
      </c>
      <c r="W148" s="51" t="s">
        <v>1163</v>
      </c>
      <c r="X148" s="17" t="s">
        <v>1163</v>
      </c>
      <c r="Y148" s="21" t="s">
        <v>1163</v>
      </c>
    </row>
    <row r="149" spans="1:25" x14ac:dyDescent="0.3">
      <c r="A149" s="11" t="s">
        <v>1286</v>
      </c>
      <c r="B149" s="12">
        <v>1369</v>
      </c>
      <c r="C149" s="23" t="s">
        <v>842</v>
      </c>
      <c r="D149" s="23" t="s">
        <v>843</v>
      </c>
      <c r="E149" s="22" t="s">
        <v>841</v>
      </c>
      <c r="F149" s="24">
        <v>45887</v>
      </c>
      <c r="G149" s="22" t="s">
        <v>634</v>
      </c>
      <c r="H149" s="22" t="s">
        <v>844</v>
      </c>
      <c r="I149" s="22" t="s">
        <v>7</v>
      </c>
      <c r="J149" s="22" t="s">
        <v>669</v>
      </c>
      <c r="K149" s="11" t="s">
        <v>63</v>
      </c>
      <c r="L149" s="58" t="s">
        <v>2</v>
      </c>
      <c r="M149" s="58" t="s">
        <v>137</v>
      </c>
      <c r="N149" s="58" t="s">
        <v>2</v>
      </c>
      <c r="O149" s="58" t="s">
        <v>137</v>
      </c>
      <c r="P149" s="58" t="s">
        <v>2</v>
      </c>
      <c r="Q149" s="58" t="s">
        <v>137</v>
      </c>
      <c r="R149" s="58" t="s">
        <v>2</v>
      </c>
      <c r="S149" s="58" t="s">
        <v>137</v>
      </c>
      <c r="T149" s="58" t="s">
        <v>2</v>
      </c>
      <c r="U149" s="58" t="s">
        <v>138</v>
      </c>
      <c r="V149" s="50" t="s">
        <v>1163</v>
      </c>
      <c r="W149" s="51" t="s">
        <v>1163</v>
      </c>
      <c r="X149" s="17" t="s">
        <v>1163</v>
      </c>
      <c r="Y149" s="21" t="s">
        <v>1163</v>
      </c>
    </row>
    <row r="150" spans="1:25" x14ac:dyDescent="0.3">
      <c r="A150" s="11" t="s">
        <v>1286</v>
      </c>
      <c r="B150" s="12">
        <v>1373</v>
      </c>
      <c r="C150" s="13" t="s">
        <v>849</v>
      </c>
      <c r="D150" s="13" t="s">
        <v>850</v>
      </c>
      <c r="E150" s="8" t="s">
        <v>857</v>
      </c>
      <c r="F150" s="14">
        <v>45971</v>
      </c>
      <c r="G150" s="8" t="s">
        <v>634</v>
      </c>
      <c r="H150" s="8" t="s">
        <v>853</v>
      </c>
      <c r="I150" s="8" t="s">
        <v>59</v>
      </c>
      <c r="J150" s="8" t="s">
        <v>116</v>
      </c>
      <c r="K150" s="11" t="s">
        <v>57</v>
      </c>
      <c r="L150" s="58" t="s">
        <v>2</v>
      </c>
      <c r="M150" s="58" t="s">
        <v>137</v>
      </c>
      <c r="N150" s="58" t="s">
        <v>2</v>
      </c>
      <c r="O150" s="58" t="s">
        <v>137</v>
      </c>
      <c r="P150" s="58" t="s">
        <v>2</v>
      </c>
      <c r="Q150" s="58" t="s">
        <v>137</v>
      </c>
      <c r="R150" s="58" t="s">
        <v>2</v>
      </c>
      <c r="S150" s="58" t="s">
        <v>137</v>
      </c>
      <c r="T150" s="58" t="s">
        <v>2</v>
      </c>
      <c r="U150" s="58" t="s">
        <v>138</v>
      </c>
      <c r="V150" s="50" t="s">
        <v>1163</v>
      </c>
      <c r="W150" s="51" t="s">
        <v>1163</v>
      </c>
      <c r="X150" s="17" t="s">
        <v>1163</v>
      </c>
      <c r="Y150" s="21" t="s">
        <v>1163</v>
      </c>
    </row>
    <row r="151" spans="1:25" x14ac:dyDescent="0.3">
      <c r="A151" s="11" t="s">
        <v>1286</v>
      </c>
      <c r="B151" s="12">
        <v>1420</v>
      </c>
      <c r="C151" s="23" t="s">
        <v>962</v>
      </c>
      <c r="D151" s="23" t="s">
        <v>111</v>
      </c>
      <c r="E151" s="22" t="s">
        <v>1000</v>
      </c>
      <c r="F151" s="24">
        <v>46034</v>
      </c>
      <c r="G151" s="33" t="s">
        <v>1215</v>
      </c>
      <c r="H151" s="22" t="s">
        <v>971</v>
      </c>
      <c r="I151" s="22" t="s">
        <v>5</v>
      </c>
      <c r="J151" s="22" t="s">
        <v>451</v>
      </c>
      <c r="K151" s="11" t="s">
        <v>39</v>
      </c>
      <c r="L151" s="58" t="s">
        <v>2</v>
      </c>
      <c r="M151" s="58" t="s">
        <v>138</v>
      </c>
      <c r="N151" s="58" t="s">
        <v>4</v>
      </c>
      <c r="O151" s="58" t="s">
        <v>147</v>
      </c>
      <c r="P151" s="58" t="s">
        <v>4</v>
      </c>
      <c r="Q151" s="58" t="s">
        <v>147</v>
      </c>
      <c r="R151" s="50" t="s">
        <v>1163</v>
      </c>
      <c r="S151" s="51" t="s">
        <v>1163</v>
      </c>
      <c r="T151" s="58" t="s">
        <v>4</v>
      </c>
      <c r="U151" s="58" t="s">
        <v>147</v>
      </c>
      <c r="V151" s="50" t="s">
        <v>4</v>
      </c>
      <c r="W151" s="51" t="s">
        <v>147</v>
      </c>
      <c r="X151" s="17" t="s">
        <v>1163</v>
      </c>
      <c r="Y151" s="21" t="s">
        <v>1163</v>
      </c>
    </row>
    <row r="152" spans="1:25" x14ac:dyDescent="0.3">
      <c r="A152" s="11" t="s">
        <v>1286</v>
      </c>
      <c r="B152" s="12" t="s">
        <v>1002</v>
      </c>
      <c r="C152" s="13" t="s">
        <v>914</v>
      </c>
      <c r="D152" s="13" t="s">
        <v>843</v>
      </c>
      <c r="E152" s="8" t="s">
        <v>973</v>
      </c>
      <c r="F152" s="14">
        <v>46041</v>
      </c>
      <c r="G152" s="8" t="s">
        <v>845</v>
      </c>
      <c r="H152" s="8" t="s">
        <v>974</v>
      </c>
      <c r="I152" s="8" t="s">
        <v>7</v>
      </c>
      <c r="J152" s="8" t="s">
        <v>571</v>
      </c>
      <c r="K152" s="11" t="s">
        <v>63</v>
      </c>
      <c r="L152" s="58" t="s">
        <v>1</v>
      </c>
      <c r="M152" s="58" t="s">
        <v>164</v>
      </c>
      <c r="N152" s="58" t="s">
        <v>1</v>
      </c>
      <c r="O152" s="58" t="s">
        <v>164</v>
      </c>
      <c r="P152" s="58" t="s">
        <v>1</v>
      </c>
      <c r="Q152" s="58" t="s">
        <v>164</v>
      </c>
      <c r="R152" s="58" t="s">
        <v>1</v>
      </c>
      <c r="S152" s="58" t="s">
        <v>164</v>
      </c>
      <c r="T152" s="58" t="s">
        <v>1</v>
      </c>
      <c r="U152" s="58" t="s">
        <v>164</v>
      </c>
      <c r="V152" s="50" t="s">
        <v>1163</v>
      </c>
      <c r="W152" s="51" t="s">
        <v>1163</v>
      </c>
      <c r="X152" s="17" t="s">
        <v>1163</v>
      </c>
      <c r="Y152" s="21" t="s">
        <v>1163</v>
      </c>
    </row>
    <row r="153" spans="1:25" x14ac:dyDescent="0.3">
      <c r="A153" s="11" t="s">
        <v>1286</v>
      </c>
      <c r="B153" s="12">
        <v>1422</v>
      </c>
      <c r="C153" s="23" t="s">
        <v>975</v>
      </c>
      <c r="D153" s="23" t="s">
        <v>155</v>
      </c>
      <c r="E153" s="22" t="s">
        <v>976</v>
      </c>
      <c r="F153" s="24">
        <v>46041</v>
      </c>
      <c r="G153" s="22" t="s">
        <v>634</v>
      </c>
      <c r="H153" s="22" t="s">
        <v>977</v>
      </c>
      <c r="I153" s="22" t="s">
        <v>51</v>
      </c>
      <c r="J153" s="22" t="s">
        <v>985</v>
      </c>
      <c r="K153" s="11" t="s">
        <v>142</v>
      </c>
      <c r="L153" s="58" t="s">
        <v>2</v>
      </c>
      <c r="M153" s="58" t="s">
        <v>137</v>
      </c>
      <c r="N153" s="58" t="s">
        <v>2</v>
      </c>
      <c r="O153" s="58" t="s">
        <v>137</v>
      </c>
      <c r="P153" s="58" t="s">
        <v>2</v>
      </c>
      <c r="Q153" s="58" t="s">
        <v>137</v>
      </c>
      <c r="R153" s="58" t="s">
        <v>2</v>
      </c>
      <c r="S153" s="58" t="s">
        <v>137</v>
      </c>
      <c r="T153" s="58" t="s">
        <v>2</v>
      </c>
      <c r="U153" s="58" t="s">
        <v>138</v>
      </c>
      <c r="V153" s="50" t="s">
        <v>1163</v>
      </c>
      <c r="W153" s="51" t="s">
        <v>1163</v>
      </c>
      <c r="X153" s="17" t="s">
        <v>1163</v>
      </c>
      <c r="Y153" s="21" t="s">
        <v>1163</v>
      </c>
    </row>
    <row r="154" spans="1:25" x14ac:dyDescent="0.3">
      <c r="A154" s="11" t="s">
        <v>1286</v>
      </c>
      <c r="B154" s="12">
        <v>1423</v>
      </c>
      <c r="C154" s="13" t="s">
        <v>978</v>
      </c>
      <c r="D154" s="13" t="s">
        <v>979</v>
      </c>
      <c r="E154" s="8" t="s">
        <v>980</v>
      </c>
      <c r="F154" s="14">
        <v>46041</v>
      </c>
      <c r="G154" s="8" t="s">
        <v>634</v>
      </c>
      <c r="H154" s="8" t="s">
        <v>981</v>
      </c>
      <c r="I154" s="8" t="s">
        <v>5</v>
      </c>
      <c r="J154" s="8" t="s">
        <v>986</v>
      </c>
      <c r="K154" s="11" t="s">
        <v>50</v>
      </c>
      <c r="L154" s="58" t="s">
        <v>2</v>
      </c>
      <c r="M154" s="58" t="s">
        <v>137</v>
      </c>
      <c r="N154" s="58" t="s">
        <v>2</v>
      </c>
      <c r="O154" s="58" t="s">
        <v>137</v>
      </c>
      <c r="P154" s="58" t="s">
        <v>2</v>
      </c>
      <c r="Q154" s="58" t="s">
        <v>137</v>
      </c>
      <c r="R154" s="58" t="s">
        <v>2</v>
      </c>
      <c r="S154" s="58" t="s">
        <v>137</v>
      </c>
      <c r="T154" s="58" t="s">
        <v>2</v>
      </c>
      <c r="U154" s="58" t="s">
        <v>138</v>
      </c>
      <c r="V154" s="50" t="s">
        <v>1163</v>
      </c>
      <c r="W154" s="51" t="s">
        <v>1163</v>
      </c>
      <c r="X154" s="17" t="s">
        <v>1163</v>
      </c>
      <c r="Y154" s="21" t="s">
        <v>1163</v>
      </c>
    </row>
    <row r="155" spans="1:25" x14ac:dyDescent="0.3">
      <c r="A155" s="11" t="s">
        <v>1286</v>
      </c>
      <c r="B155" s="12">
        <v>1425</v>
      </c>
      <c r="C155" s="13" t="s">
        <v>982</v>
      </c>
      <c r="D155" s="13" t="s">
        <v>629</v>
      </c>
      <c r="E155" s="8" t="s">
        <v>983</v>
      </c>
      <c r="F155" s="14">
        <v>46041</v>
      </c>
      <c r="G155" s="8" t="s">
        <v>634</v>
      </c>
      <c r="H155" s="8" t="s">
        <v>984</v>
      </c>
      <c r="I155" s="8" t="s">
        <v>59</v>
      </c>
      <c r="J155" s="8" t="s">
        <v>112</v>
      </c>
      <c r="K155" s="11" t="s">
        <v>57</v>
      </c>
      <c r="L155" s="58" t="s">
        <v>2</v>
      </c>
      <c r="M155" s="58" t="s">
        <v>137</v>
      </c>
      <c r="N155" s="58" t="s">
        <v>2</v>
      </c>
      <c r="O155" s="58" t="s">
        <v>137</v>
      </c>
      <c r="P155" s="58" t="s">
        <v>2</v>
      </c>
      <c r="Q155" s="58" t="s">
        <v>137</v>
      </c>
      <c r="R155" s="58" t="s">
        <v>2</v>
      </c>
      <c r="S155" s="58" t="s">
        <v>137</v>
      </c>
      <c r="T155" s="58" t="s">
        <v>2</v>
      </c>
      <c r="U155" s="58" t="s">
        <v>138</v>
      </c>
      <c r="V155" s="50" t="s">
        <v>1163</v>
      </c>
      <c r="W155" s="51" t="s">
        <v>1163</v>
      </c>
      <c r="X155" s="17" t="s">
        <v>1163</v>
      </c>
      <c r="Y155" s="21" t="s">
        <v>1163</v>
      </c>
    </row>
    <row r="156" spans="1:25" x14ac:dyDescent="0.3">
      <c r="A156" s="11" t="s">
        <v>1286</v>
      </c>
      <c r="B156" s="12"/>
      <c r="C156" s="23" t="s">
        <v>1009</v>
      </c>
      <c r="D156" s="23" t="s">
        <v>73</v>
      </c>
      <c r="E156" s="22" t="s">
        <v>1029</v>
      </c>
      <c r="F156" s="24">
        <v>46054</v>
      </c>
      <c r="G156" s="22" t="s">
        <v>634</v>
      </c>
      <c r="H156" s="22" t="s">
        <v>1010</v>
      </c>
      <c r="I156" s="22" t="s">
        <v>59</v>
      </c>
      <c r="J156" s="22" t="s">
        <v>988</v>
      </c>
      <c r="K156" s="11" t="s">
        <v>57</v>
      </c>
      <c r="L156" s="58" t="s">
        <v>2</v>
      </c>
      <c r="M156" s="58" t="s">
        <v>137</v>
      </c>
      <c r="N156" s="58" t="s">
        <v>2</v>
      </c>
      <c r="O156" s="58" t="s">
        <v>137</v>
      </c>
      <c r="P156" s="58" t="s">
        <v>2</v>
      </c>
      <c r="Q156" s="58" t="s">
        <v>137</v>
      </c>
      <c r="R156" s="58" t="s">
        <v>2</v>
      </c>
      <c r="S156" s="58" t="s">
        <v>137</v>
      </c>
      <c r="T156" s="58" t="s">
        <v>2</v>
      </c>
      <c r="U156" s="58" t="s">
        <v>138</v>
      </c>
      <c r="V156" s="50" t="s">
        <v>1163</v>
      </c>
      <c r="W156" s="51" t="s">
        <v>1163</v>
      </c>
      <c r="X156" s="17" t="s">
        <v>1163</v>
      </c>
      <c r="Y156" s="21" t="s">
        <v>1163</v>
      </c>
    </row>
    <row r="157" spans="1:25" x14ac:dyDescent="0.3">
      <c r="A157" s="11" t="s">
        <v>1286</v>
      </c>
      <c r="B157" s="12"/>
      <c r="C157" s="13" t="s">
        <v>1011</v>
      </c>
      <c r="D157" s="13" t="s">
        <v>172</v>
      </c>
      <c r="E157" s="8" t="s">
        <v>1030</v>
      </c>
      <c r="F157" s="14">
        <v>46054</v>
      </c>
      <c r="G157" s="8" t="s">
        <v>634</v>
      </c>
      <c r="H157" s="8" t="s">
        <v>1012</v>
      </c>
      <c r="I157" s="8" t="s">
        <v>6</v>
      </c>
      <c r="J157" s="8" t="s">
        <v>559</v>
      </c>
      <c r="K157" s="11" t="s">
        <v>62</v>
      </c>
      <c r="L157" s="58" t="s">
        <v>2</v>
      </c>
      <c r="M157" s="58" t="s">
        <v>137</v>
      </c>
      <c r="N157" s="58" t="s">
        <v>2</v>
      </c>
      <c r="O157" s="58" t="s">
        <v>137</v>
      </c>
      <c r="P157" s="58" t="s">
        <v>2</v>
      </c>
      <c r="Q157" s="58" t="s">
        <v>137</v>
      </c>
      <c r="R157" s="58" t="s">
        <v>2</v>
      </c>
      <c r="S157" s="58" t="s">
        <v>137</v>
      </c>
      <c r="T157" s="58" t="s">
        <v>2</v>
      </c>
      <c r="U157" s="58" t="s">
        <v>138</v>
      </c>
      <c r="V157" s="50" t="s">
        <v>1163</v>
      </c>
      <c r="W157" s="51" t="s">
        <v>1163</v>
      </c>
      <c r="X157" s="17" t="s">
        <v>1163</v>
      </c>
      <c r="Y157" s="21" t="s">
        <v>1163</v>
      </c>
    </row>
    <row r="158" spans="1:25" x14ac:dyDescent="0.3">
      <c r="A158" s="11" t="s">
        <v>1286</v>
      </c>
      <c r="B158" s="12"/>
      <c r="C158" s="13" t="s">
        <v>1094</v>
      </c>
      <c r="D158" s="13" t="s">
        <v>1095</v>
      </c>
      <c r="E158" s="8" t="s">
        <v>1088</v>
      </c>
      <c r="F158" s="14">
        <v>46083</v>
      </c>
      <c r="G158" s="34" t="s">
        <v>177</v>
      </c>
      <c r="H158" s="8" t="s">
        <v>1089</v>
      </c>
      <c r="I158" s="8" t="s">
        <v>5</v>
      </c>
      <c r="J158" s="40" t="s">
        <v>1090</v>
      </c>
      <c r="K158" s="11" t="s">
        <v>39</v>
      </c>
      <c r="L158" s="58" t="s">
        <v>2</v>
      </c>
      <c r="M158" s="58" t="s">
        <v>137</v>
      </c>
      <c r="N158" s="58" t="s">
        <v>2</v>
      </c>
      <c r="O158" s="58" t="s">
        <v>137</v>
      </c>
      <c r="P158" s="58" t="s">
        <v>2</v>
      </c>
      <c r="Q158" s="58" t="s">
        <v>137</v>
      </c>
      <c r="R158" s="58" t="s">
        <v>2</v>
      </c>
      <c r="S158" s="58" t="s">
        <v>137</v>
      </c>
      <c r="T158" s="58" t="s">
        <v>2</v>
      </c>
      <c r="U158" s="58" t="s">
        <v>138</v>
      </c>
      <c r="V158" s="50" t="s">
        <v>1163</v>
      </c>
      <c r="W158" s="51" t="s">
        <v>1163</v>
      </c>
      <c r="X158" s="17" t="s">
        <v>1163</v>
      </c>
      <c r="Y158" s="21" t="s">
        <v>1163</v>
      </c>
    </row>
    <row r="159" spans="1:25" x14ac:dyDescent="0.3">
      <c r="A159" s="11" t="s">
        <v>1286</v>
      </c>
      <c r="B159" s="12"/>
      <c r="C159" s="23" t="s">
        <v>1096</v>
      </c>
      <c r="D159" s="23" t="s">
        <v>756</v>
      </c>
      <c r="E159" s="22" t="s">
        <v>1091</v>
      </c>
      <c r="F159" s="24">
        <v>46083</v>
      </c>
      <c r="G159" s="34" t="s">
        <v>177</v>
      </c>
      <c r="H159" s="22" t="s">
        <v>1092</v>
      </c>
      <c r="I159" s="15" t="s">
        <v>51</v>
      </c>
      <c r="J159" s="41" t="s">
        <v>1093</v>
      </c>
      <c r="K159" s="11" t="s">
        <v>142</v>
      </c>
      <c r="L159" s="58" t="s">
        <v>2</v>
      </c>
      <c r="M159" s="58" t="s">
        <v>137</v>
      </c>
      <c r="N159" s="58" t="s">
        <v>2</v>
      </c>
      <c r="O159" s="58" t="s">
        <v>137</v>
      </c>
      <c r="P159" s="58" t="s">
        <v>2</v>
      </c>
      <c r="Q159" s="58" t="s">
        <v>137</v>
      </c>
      <c r="R159" s="58" t="s">
        <v>2</v>
      </c>
      <c r="S159" s="58" t="s">
        <v>137</v>
      </c>
      <c r="T159" s="58" t="s">
        <v>2</v>
      </c>
      <c r="U159" s="58" t="s">
        <v>138</v>
      </c>
      <c r="V159" s="50" t="s">
        <v>1163</v>
      </c>
      <c r="W159" s="51" t="s">
        <v>1163</v>
      </c>
      <c r="X159" s="17" t="s">
        <v>1163</v>
      </c>
      <c r="Y159" s="21" t="s">
        <v>1163</v>
      </c>
    </row>
    <row r="160" spans="1:25" x14ac:dyDescent="0.3">
      <c r="A160" s="11" t="s">
        <v>1286</v>
      </c>
      <c r="B160" s="12"/>
      <c r="C160" s="23" t="s">
        <v>916</v>
      </c>
      <c r="D160" s="23" t="s">
        <v>917</v>
      </c>
      <c r="E160" s="22" t="s">
        <v>936</v>
      </c>
      <c r="F160" s="24">
        <v>46013</v>
      </c>
      <c r="G160" s="22" t="s">
        <v>204</v>
      </c>
      <c r="H160" s="22" t="s">
        <v>926</v>
      </c>
      <c r="I160" s="22" t="s">
        <v>6</v>
      </c>
      <c r="J160" s="22" t="s">
        <v>673</v>
      </c>
      <c r="K160" s="11" t="s">
        <v>96</v>
      </c>
      <c r="L160" s="58" t="s">
        <v>1</v>
      </c>
      <c r="M160" s="58" t="s">
        <v>138</v>
      </c>
      <c r="N160" s="58" t="s">
        <v>1</v>
      </c>
      <c r="O160" s="58" t="s">
        <v>138</v>
      </c>
      <c r="P160" s="50" t="s">
        <v>1163</v>
      </c>
      <c r="Q160" s="50" t="s">
        <v>1163</v>
      </c>
      <c r="R160" s="58" t="s">
        <v>1</v>
      </c>
      <c r="S160" s="58" t="s">
        <v>138</v>
      </c>
      <c r="T160" s="58" t="s">
        <v>1</v>
      </c>
      <c r="U160" s="58" t="s">
        <v>138</v>
      </c>
      <c r="V160" s="58" t="s">
        <v>1</v>
      </c>
      <c r="W160" s="58" t="s">
        <v>164</v>
      </c>
      <c r="X160" s="17" t="s">
        <v>1163</v>
      </c>
      <c r="Y160" s="17" t="s">
        <v>1163</v>
      </c>
    </row>
    <row r="161" spans="1:25" x14ac:dyDescent="0.3">
      <c r="A161" s="11" t="s">
        <v>1286</v>
      </c>
      <c r="B161" s="12"/>
      <c r="C161" s="13" t="s">
        <v>920</v>
      </c>
      <c r="D161" s="13" t="s">
        <v>921</v>
      </c>
      <c r="E161" s="8" t="s">
        <v>938</v>
      </c>
      <c r="F161" s="14">
        <v>46013</v>
      </c>
      <c r="G161" s="8" t="s">
        <v>204</v>
      </c>
      <c r="H161" s="8" t="s">
        <v>928</v>
      </c>
      <c r="I161" s="8" t="s">
        <v>6</v>
      </c>
      <c r="J161" s="8" t="s">
        <v>922</v>
      </c>
      <c r="K161" s="11" t="s">
        <v>62</v>
      </c>
      <c r="L161" s="58" t="s">
        <v>1</v>
      </c>
      <c r="M161" s="58" t="s">
        <v>138</v>
      </c>
      <c r="N161" s="58" t="s">
        <v>1</v>
      </c>
      <c r="O161" s="58" t="s">
        <v>164</v>
      </c>
      <c r="P161" s="58" t="s">
        <v>1</v>
      </c>
      <c r="Q161" s="58" t="s">
        <v>138</v>
      </c>
      <c r="R161" s="58" t="s">
        <v>1</v>
      </c>
      <c r="S161" s="58" t="s">
        <v>138</v>
      </c>
      <c r="T161" s="58" t="s">
        <v>1</v>
      </c>
      <c r="U161" s="58" t="s">
        <v>138</v>
      </c>
      <c r="V161" s="50" t="s">
        <v>1163</v>
      </c>
      <c r="W161" s="50" t="s">
        <v>1163</v>
      </c>
      <c r="X161" s="17" t="s">
        <v>1163</v>
      </c>
      <c r="Y161" s="17" t="s">
        <v>1163</v>
      </c>
    </row>
    <row r="162" spans="1:25" x14ac:dyDescent="0.3">
      <c r="A162" s="11" t="s">
        <v>1286</v>
      </c>
      <c r="B162" s="12">
        <v>397</v>
      </c>
      <c r="C162" s="23" t="s">
        <v>228</v>
      </c>
      <c r="D162" s="23" t="s">
        <v>229</v>
      </c>
      <c r="E162" s="22" t="s">
        <v>230</v>
      </c>
      <c r="F162" s="24">
        <v>44293</v>
      </c>
      <c r="G162" s="22" t="s">
        <v>204</v>
      </c>
      <c r="H162" s="22" t="s">
        <v>231</v>
      </c>
      <c r="I162" s="22" t="s">
        <v>51</v>
      </c>
      <c r="J162" s="22" t="s">
        <v>766</v>
      </c>
      <c r="K162" s="16" t="s">
        <v>52</v>
      </c>
      <c r="L162" s="50" t="s">
        <v>1163</v>
      </c>
      <c r="M162" s="50" t="s">
        <v>1163</v>
      </c>
      <c r="N162" s="50" t="s">
        <v>1163</v>
      </c>
      <c r="O162" s="50" t="s">
        <v>1163</v>
      </c>
      <c r="P162" s="50" t="s">
        <v>1163</v>
      </c>
      <c r="Q162" s="50" t="s">
        <v>1163</v>
      </c>
      <c r="R162" s="50" t="s">
        <v>1163</v>
      </c>
      <c r="S162" s="50" t="s">
        <v>1163</v>
      </c>
      <c r="T162" s="50" t="s">
        <v>1163</v>
      </c>
      <c r="U162" s="50" t="s">
        <v>1163</v>
      </c>
      <c r="V162" s="50" t="s">
        <v>1163</v>
      </c>
      <c r="W162" s="50" t="s">
        <v>1163</v>
      </c>
      <c r="X162" s="17" t="s">
        <v>1163</v>
      </c>
      <c r="Y162" s="17" t="s">
        <v>1163</v>
      </c>
    </row>
    <row r="163" spans="1:25" x14ac:dyDescent="0.3">
      <c r="A163" s="11" t="s">
        <v>1286</v>
      </c>
      <c r="B163" s="12">
        <v>952</v>
      </c>
      <c r="C163" s="13" t="s">
        <v>247</v>
      </c>
      <c r="D163" s="13" t="s">
        <v>248</v>
      </c>
      <c r="E163" s="8" t="s">
        <v>249</v>
      </c>
      <c r="F163" s="14">
        <v>45428</v>
      </c>
      <c r="G163" s="8" t="s">
        <v>204</v>
      </c>
      <c r="H163" s="8" t="s">
        <v>250</v>
      </c>
      <c r="I163" s="8" t="s">
        <v>59</v>
      </c>
      <c r="J163" s="8" t="s">
        <v>251</v>
      </c>
      <c r="K163" s="16" t="s">
        <v>57</v>
      </c>
      <c r="L163" s="50" t="s">
        <v>1163</v>
      </c>
      <c r="M163" s="50" t="s">
        <v>1163</v>
      </c>
      <c r="N163" s="58" t="s">
        <v>4</v>
      </c>
      <c r="O163" s="58" t="s">
        <v>147</v>
      </c>
      <c r="P163" s="58" t="s">
        <v>4</v>
      </c>
      <c r="Q163" s="58" t="s">
        <v>147</v>
      </c>
      <c r="R163" s="58" t="s">
        <v>4</v>
      </c>
      <c r="S163" s="58" t="s">
        <v>147</v>
      </c>
      <c r="T163" s="58" t="s">
        <v>813</v>
      </c>
      <c r="U163" s="58" t="s">
        <v>147</v>
      </c>
      <c r="V163" s="58" t="s">
        <v>1163</v>
      </c>
      <c r="W163" s="58" t="s">
        <v>1163</v>
      </c>
      <c r="X163" s="17" t="s">
        <v>1163</v>
      </c>
      <c r="Y163" s="17" t="s">
        <v>1163</v>
      </c>
    </row>
    <row r="164" spans="1:25" x14ac:dyDescent="0.3">
      <c r="A164" s="11" t="s">
        <v>1286</v>
      </c>
      <c r="B164" s="12">
        <v>971</v>
      </c>
      <c r="C164" s="23" t="s">
        <v>252</v>
      </c>
      <c r="D164" s="23" t="s">
        <v>253</v>
      </c>
      <c r="E164" s="22" t="s">
        <v>254</v>
      </c>
      <c r="F164" s="24">
        <v>45299</v>
      </c>
      <c r="G164" s="22" t="s">
        <v>204</v>
      </c>
      <c r="H164" s="22" t="s">
        <v>950</v>
      </c>
      <c r="I164" s="22" t="s">
        <v>51</v>
      </c>
      <c r="J164" s="22" t="s">
        <v>255</v>
      </c>
      <c r="K164" s="16" t="s">
        <v>57</v>
      </c>
      <c r="L164" s="50" t="s">
        <v>1163</v>
      </c>
      <c r="M164" s="50" t="s">
        <v>1163</v>
      </c>
      <c r="N164" s="50" t="s">
        <v>1163</v>
      </c>
      <c r="O164" s="50" t="s">
        <v>1163</v>
      </c>
      <c r="P164" s="58" t="s">
        <v>4</v>
      </c>
      <c r="Q164" s="58" t="s">
        <v>147</v>
      </c>
      <c r="R164" s="58" t="s">
        <v>4</v>
      </c>
      <c r="S164" s="58" t="s">
        <v>147</v>
      </c>
      <c r="T164" s="58" t="s">
        <v>813</v>
      </c>
      <c r="U164" s="58" t="s">
        <v>147</v>
      </c>
      <c r="V164" s="58" t="s">
        <v>1163</v>
      </c>
      <c r="W164" s="58" t="s">
        <v>1163</v>
      </c>
      <c r="X164" s="17" t="s">
        <v>1163</v>
      </c>
      <c r="Y164" s="17" t="s">
        <v>1163</v>
      </c>
    </row>
    <row r="165" spans="1:25" x14ac:dyDescent="0.3">
      <c r="A165" s="11" t="s">
        <v>1286</v>
      </c>
      <c r="B165" s="12">
        <v>364</v>
      </c>
      <c r="C165" s="13" t="s">
        <v>256</v>
      </c>
      <c r="D165" s="13" t="s">
        <v>244</v>
      </c>
      <c r="E165" s="8" t="s">
        <v>257</v>
      </c>
      <c r="F165" s="14">
        <v>44263</v>
      </c>
      <c r="G165" s="8" t="s">
        <v>204</v>
      </c>
      <c r="H165" s="8" t="s">
        <v>258</v>
      </c>
      <c r="I165" s="8" t="s">
        <v>5</v>
      </c>
      <c r="J165" s="8" t="s">
        <v>61</v>
      </c>
      <c r="K165" s="16" t="s">
        <v>39</v>
      </c>
      <c r="L165" s="58" t="s">
        <v>4</v>
      </c>
      <c r="M165" s="58" t="s">
        <v>147</v>
      </c>
      <c r="N165" s="58" t="s">
        <v>4</v>
      </c>
      <c r="O165" s="58" t="s">
        <v>147</v>
      </c>
      <c r="P165" s="50" t="s">
        <v>1163</v>
      </c>
      <c r="Q165" s="50" t="s">
        <v>1163</v>
      </c>
      <c r="R165" s="50" t="s">
        <v>1163</v>
      </c>
      <c r="S165" s="50" t="s">
        <v>1163</v>
      </c>
      <c r="T165" s="58" t="s">
        <v>1</v>
      </c>
      <c r="U165" s="58" t="s">
        <v>138</v>
      </c>
      <c r="V165" s="58" t="s">
        <v>1</v>
      </c>
      <c r="W165" s="58" t="s">
        <v>164</v>
      </c>
      <c r="X165" s="17" t="s">
        <v>1163</v>
      </c>
      <c r="Y165" s="17" t="s">
        <v>1163</v>
      </c>
    </row>
    <row r="166" spans="1:25" x14ac:dyDescent="0.3">
      <c r="A166" s="11" t="s">
        <v>1286</v>
      </c>
      <c r="B166" s="12">
        <v>1007</v>
      </c>
      <c r="C166" s="13" t="s">
        <v>115</v>
      </c>
      <c r="D166" s="13" t="s">
        <v>374</v>
      </c>
      <c r="E166" s="8" t="s">
        <v>375</v>
      </c>
      <c r="F166" s="14">
        <v>45565</v>
      </c>
      <c r="G166" s="8" t="s">
        <v>204</v>
      </c>
      <c r="H166" s="8" t="s">
        <v>376</v>
      </c>
      <c r="I166" s="22" t="s">
        <v>51</v>
      </c>
      <c r="J166" s="8" t="s">
        <v>365</v>
      </c>
      <c r="K166" s="16" t="s">
        <v>142</v>
      </c>
      <c r="L166" s="50" t="s">
        <v>1163</v>
      </c>
      <c r="M166" s="50" t="s">
        <v>1163</v>
      </c>
      <c r="N166" s="58" t="s">
        <v>1</v>
      </c>
      <c r="O166" s="58" t="s">
        <v>138</v>
      </c>
      <c r="P166" s="58" t="s">
        <v>1</v>
      </c>
      <c r="Q166" s="58" t="s">
        <v>138</v>
      </c>
      <c r="R166" s="58" t="s">
        <v>1</v>
      </c>
      <c r="S166" s="58" t="s">
        <v>138</v>
      </c>
      <c r="T166" s="58" t="s">
        <v>1</v>
      </c>
      <c r="U166" s="58" t="s">
        <v>138</v>
      </c>
      <c r="V166" s="58" t="s">
        <v>1</v>
      </c>
      <c r="W166" s="58" t="s">
        <v>164</v>
      </c>
      <c r="X166" s="17" t="s">
        <v>1163</v>
      </c>
      <c r="Y166" s="17" t="s">
        <v>1163</v>
      </c>
    </row>
    <row r="167" spans="1:25" x14ac:dyDescent="0.3">
      <c r="A167" s="11" t="s">
        <v>1286</v>
      </c>
      <c r="B167" s="12">
        <v>366</v>
      </c>
      <c r="C167" s="13" t="s">
        <v>267</v>
      </c>
      <c r="D167" s="13" t="s">
        <v>97</v>
      </c>
      <c r="E167" s="8" t="s">
        <v>268</v>
      </c>
      <c r="F167" s="14">
        <v>44263</v>
      </c>
      <c r="G167" s="8" t="s">
        <v>204</v>
      </c>
      <c r="H167" s="8" t="s">
        <v>269</v>
      </c>
      <c r="I167" s="22" t="s">
        <v>51</v>
      </c>
      <c r="J167" s="8" t="s">
        <v>216</v>
      </c>
      <c r="K167" s="16" t="s">
        <v>52</v>
      </c>
      <c r="L167" s="58" t="s">
        <v>2</v>
      </c>
      <c r="M167" s="58" t="s">
        <v>138</v>
      </c>
      <c r="N167" s="58" t="s">
        <v>1163</v>
      </c>
      <c r="O167" s="58" t="s">
        <v>1163</v>
      </c>
      <c r="P167" s="58" t="s">
        <v>1163</v>
      </c>
      <c r="Q167" s="58" t="s">
        <v>1163</v>
      </c>
      <c r="R167" s="58" t="s">
        <v>4</v>
      </c>
      <c r="S167" s="58" t="s">
        <v>147</v>
      </c>
      <c r="T167" s="58" t="s">
        <v>813</v>
      </c>
      <c r="U167" s="58" t="s">
        <v>147</v>
      </c>
      <c r="V167" s="50" t="s">
        <v>1</v>
      </c>
      <c r="W167" s="50" t="s">
        <v>164</v>
      </c>
      <c r="X167" s="17" t="s">
        <v>1163</v>
      </c>
      <c r="Y167" s="17" t="s">
        <v>1163</v>
      </c>
    </row>
    <row r="168" spans="1:25" x14ac:dyDescent="0.3">
      <c r="A168" s="11" t="s">
        <v>1286</v>
      </c>
      <c r="B168" s="12">
        <v>894</v>
      </c>
      <c r="C168" s="13" t="s">
        <v>284</v>
      </c>
      <c r="D168" s="13" t="s">
        <v>97</v>
      </c>
      <c r="E168" s="8" t="s">
        <v>285</v>
      </c>
      <c r="F168" s="14">
        <v>45072</v>
      </c>
      <c r="G168" s="34" t="s">
        <v>1215</v>
      </c>
      <c r="H168" s="8" t="s">
        <v>286</v>
      </c>
      <c r="I168" s="22" t="s">
        <v>51</v>
      </c>
      <c r="J168" s="8" t="s">
        <v>1017</v>
      </c>
      <c r="K168" s="16" t="s">
        <v>52</v>
      </c>
      <c r="L168" s="58" t="s">
        <v>2</v>
      </c>
      <c r="M168" s="58" t="s">
        <v>138</v>
      </c>
      <c r="N168" s="58" t="s">
        <v>4</v>
      </c>
      <c r="O168" s="58" t="s">
        <v>147</v>
      </c>
      <c r="P168" s="58" t="s">
        <v>4</v>
      </c>
      <c r="Q168" s="58" t="s">
        <v>147</v>
      </c>
      <c r="R168" s="50" t="s">
        <v>1163</v>
      </c>
      <c r="S168" s="51" t="s">
        <v>1163</v>
      </c>
      <c r="T168" s="58" t="s">
        <v>4</v>
      </c>
      <c r="U168" s="58" t="s">
        <v>147</v>
      </c>
      <c r="V168" s="58" t="s">
        <v>4</v>
      </c>
      <c r="W168" s="58" t="s">
        <v>147</v>
      </c>
      <c r="X168" s="17" t="s">
        <v>1163</v>
      </c>
      <c r="Y168" s="17" t="s">
        <v>1163</v>
      </c>
    </row>
    <row r="169" spans="1:25" x14ac:dyDescent="0.3">
      <c r="A169" s="11" t="s">
        <v>1286</v>
      </c>
      <c r="B169" s="12">
        <v>949</v>
      </c>
      <c r="C169" s="23" t="s">
        <v>303</v>
      </c>
      <c r="D169" s="23" t="s">
        <v>304</v>
      </c>
      <c r="E169" s="22" t="s">
        <v>305</v>
      </c>
      <c r="F169" s="24">
        <v>45429</v>
      </c>
      <c r="G169" s="22" t="s">
        <v>204</v>
      </c>
      <c r="H169" s="22" t="s">
        <v>306</v>
      </c>
      <c r="I169" s="22" t="s">
        <v>51</v>
      </c>
      <c r="J169" s="22" t="s">
        <v>117</v>
      </c>
      <c r="K169" s="16" t="s">
        <v>142</v>
      </c>
      <c r="L169" s="58" t="s">
        <v>4</v>
      </c>
      <c r="M169" s="58" t="s">
        <v>147</v>
      </c>
      <c r="N169" s="58" t="s">
        <v>4</v>
      </c>
      <c r="O169" s="58" t="s">
        <v>147</v>
      </c>
      <c r="P169" s="58" t="s">
        <v>4</v>
      </c>
      <c r="Q169" s="58" t="s">
        <v>147</v>
      </c>
      <c r="R169" s="58" t="s">
        <v>1163</v>
      </c>
      <c r="S169" s="58" t="s">
        <v>1163</v>
      </c>
      <c r="T169" s="58" t="s">
        <v>1</v>
      </c>
      <c r="U169" s="58" t="s">
        <v>138</v>
      </c>
      <c r="V169" s="50" t="s">
        <v>1</v>
      </c>
      <c r="W169" s="50" t="s">
        <v>164</v>
      </c>
      <c r="X169" s="17" t="s">
        <v>1163</v>
      </c>
      <c r="Y169" s="17" t="s">
        <v>1163</v>
      </c>
    </row>
    <row r="170" spans="1:25" x14ac:dyDescent="0.3">
      <c r="A170" s="11" t="s">
        <v>1286</v>
      </c>
      <c r="B170" s="12">
        <v>669</v>
      </c>
      <c r="C170" s="13" t="s">
        <v>324</v>
      </c>
      <c r="D170" s="13" t="s">
        <v>325</v>
      </c>
      <c r="E170" s="8" t="s">
        <v>326</v>
      </c>
      <c r="F170" s="14">
        <v>44641</v>
      </c>
      <c r="G170" s="8" t="s">
        <v>204</v>
      </c>
      <c r="H170" s="8" t="s">
        <v>327</v>
      </c>
      <c r="I170" s="8" t="s">
        <v>59</v>
      </c>
      <c r="J170" s="8" t="s">
        <v>116</v>
      </c>
      <c r="K170" s="16" t="s">
        <v>57</v>
      </c>
      <c r="L170" s="58" t="s">
        <v>1</v>
      </c>
      <c r="M170" s="58" t="s">
        <v>138</v>
      </c>
      <c r="N170" s="58" t="s">
        <v>1</v>
      </c>
      <c r="O170" s="58" t="s">
        <v>138</v>
      </c>
      <c r="P170" s="58" t="s">
        <v>1163</v>
      </c>
      <c r="Q170" s="58" t="s">
        <v>1163</v>
      </c>
      <c r="R170" s="58" t="s">
        <v>1</v>
      </c>
      <c r="S170" s="58" t="s">
        <v>138</v>
      </c>
      <c r="T170" s="58" t="s">
        <v>1</v>
      </c>
      <c r="U170" s="58" t="s">
        <v>138</v>
      </c>
      <c r="V170" s="50" t="s">
        <v>1</v>
      </c>
      <c r="W170" s="50" t="s">
        <v>164</v>
      </c>
      <c r="X170" s="17" t="s">
        <v>1163</v>
      </c>
      <c r="Y170" s="17" t="s">
        <v>1163</v>
      </c>
    </row>
    <row r="171" spans="1:25" x14ac:dyDescent="0.3">
      <c r="A171" s="11" t="s">
        <v>1286</v>
      </c>
      <c r="B171" s="12">
        <v>157</v>
      </c>
      <c r="C171" s="23" t="s">
        <v>328</v>
      </c>
      <c r="D171" s="23" t="s">
        <v>329</v>
      </c>
      <c r="E171" s="22" t="s">
        <v>330</v>
      </c>
      <c r="F171" s="24">
        <v>43776</v>
      </c>
      <c r="G171" s="22" t="s">
        <v>204</v>
      </c>
      <c r="H171" s="22" t="s">
        <v>331</v>
      </c>
      <c r="I171" s="22" t="s">
        <v>5</v>
      </c>
      <c r="J171" s="22" t="s">
        <v>49</v>
      </c>
      <c r="K171" s="16" t="s">
        <v>50</v>
      </c>
      <c r="L171" s="58" t="s">
        <v>4</v>
      </c>
      <c r="M171" s="58" t="s">
        <v>147</v>
      </c>
      <c r="N171" s="58" t="s">
        <v>4</v>
      </c>
      <c r="O171" s="58" t="s">
        <v>147</v>
      </c>
      <c r="P171" s="58" t="s">
        <v>2</v>
      </c>
      <c r="Q171" s="58" t="s">
        <v>138</v>
      </c>
      <c r="R171" s="58" t="s">
        <v>2</v>
      </c>
      <c r="S171" s="58" t="s">
        <v>164</v>
      </c>
      <c r="T171" s="58" t="s">
        <v>2</v>
      </c>
      <c r="U171" s="58" t="s">
        <v>164</v>
      </c>
      <c r="V171" s="58" t="s">
        <v>1163</v>
      </c>
      <c r="W171" s="58" t="s">
        <v>1163</v>
      </c>
      <c r="X171" s="17" t="s">
        <v>1163</v>
      </c>
      <c r="Y171" s="17" t="s">
        <v>1163</v>
      </c>
    </row>
    <row r="172" spans="1:25" x14ac:dyDescent="0.3">
      <c r="A172" s="11" t="s">
        <v>1286</v>
      </c>
      <c r="B172" s="12">
        <v>1008</v>
      </c>
      <c r="C172" s="13" t="s">
        <v>380</v>
      </c>
      <c r="D172" s="13" t="s">
        <v>381</v>
      </c>
      <c r="E172" s="8" t="s">
        <v>382</v>
      </c>
      <c r="F172" s="14">
        <v>45565</v>
      </c>
      <c r="G172" s="8" t="s">
        <v>204</v>
      </c>
      <c r="H172" s="8" t="s">
        <v>651</v>
      </c>
      <c r="I172" s="8" t="s">
        <v>51</v>
      </c>
      <c r="J172" s="8" t="s">
        <v>383</v>
      </c>
      <c r="K172" s="16" t="s">
        <v>57</v>
      </c>
      <c r="L172" s="50" t="s">
        <v>1163</v>
      </c>
      <c r="M172" s="50" t="s">
        <v>1163</v>
      </c>
      <c r="N172" s="50" t="s">
        <v>1163</v>
      </c>
      <c r="O172" s="50" t="s">
        <v>1163</v>
      </c>
      <c r="P172" s="58" t="s">
        <v>4</v>
      </c>
      <c r="Q172" s="58" t="s">
        <v>147</v>
      </c>
      <c r="R172" s="58" t="s">
        <v>1</v>
      </c>
      <c r="S172" s="58" t="s">
        <v>138</v>
      </c>
      <c r="T172" s="58" t="s">
        <v>1</v>
      </c>
      <c r="U172" s="58" t="s">
        <v>138</v>
      </c>
      <c r="V172" s="17" t="s">
        <v>1</v>
      </c>
      <c r="W172" s="17" t="s">
        <v>164</v>
      </c>
      <c r="X172" s="17" t="s">
        <v>1163</v>
      </c>
      <c r="Y172" s="17" t="s">
        <v>1163</v>
      </c>
    </row>
    <row r="173" spans="1:25" x14ac:dyDescent="0.3">
      <c r="A173" s="11" t="s">
        <v>1286</v>
      </c>
      <c r="B173" s="12">
        <v>742</v>
      </c>
      <c r="C173" s="23" t="s">
        <v>353</v>
      </c>
      <c r="D173" s="23" t="s">
        <v>354</v>
      </c>
      <c r="E173" s="22" t="s">
        <v>355</v>
      </c>
      <c r="F173" s="24">
        <v>44746</v>
      </c>
      <c r="G173" s="22" t="s">
        <v>204</v>
      </c>
      <c r="H173" s="22" t="s">
        <v>356</v>
      </c>
      <c r="I173" s="22" t="s">
        <v>6</v>
      </c>
      <c r="J173" s="22" t="s">
        <v>291</v>
      </c>
      <c r="K173" s="16" t="s">
        <v>96</v>
      </c>
      <c r="L173" s="58" t="s">
        <v>1</v>
      </c>
      <c r="M173" s="58" t="s">
        <v>164</v>
      </c>
      <c r="N173" s="58" t="s">
        <v>1</v>
      </c>
      <c r="O173" s="58" t="s">
        <v>138</v>
      </c>
      <c r="P173" s="58" t="s">
        <v>1</v>
      </c>
      <c r="Q173" s="58" t="s">
        <v>138</v>
      </c>
      <c r="R173" s="58" t="s">
        <v>1</v>
      </c>
      <c r="S173" s="58" t="s">
        <v>138</v>
      </c>
      <c r="T173" s="58" t="s">
        <v>1</v>
      </c>
      <c r="U173" s="58" t="s">
        <v>138</v>
      </c>
      <c r="V173" s="50" t="s">
        <v>1163</v>
      </c>
      <c r="W173" s="50" t="s">
        <v>1163</v>
      </c>
      <c r="X173" s="17" t="s">
        <v>1163</v>
      </c>
      <c r="Y173" s="17" t="s">
        <v>1163</v>
      </c>
    </row>
    <row r="174" spans="1:25" x14ac:dyDescent="0.3">
      <c r="A174" s="11" t="s">
        <v>1286</v>
      </c>
      <c r="B174" s="12">
        <v>1009</v>
      </c>
      <c r="C174" s="13" t="s">
        <v>384</v>
      </c>
      <c r="D174" s="13" t="s">
        <v>385</v>
      </c>
      <c r="E174" s="8" t="s">
        <v>386</v>
      </c>
      <c r="F174" s="14">
        <v>45565</v>
      </c>
      <c r="G174" s="8" t="s">
        <v>204</v>
      </c>
      <c r="H174" s="8" t="s">
        <v>387</v>
      </c>
      <c r="I174" s="8" t="s">
        <v>5</v>
      </c>
      <c r="J174" s="22" t="s">
        <v>780</v>
      </c>
      <c r="K174" s="16" t="s">
        <v>39</v>
      </c>
      <c r="L174" s="58" t="s">
        <v>4</v>
      </c>
      <c r="M174" s="58" t="s">
        <v>147</v>
      </c>
      <c r="N174" s="58" t="s">
        <v>4</v>
      </c>
      <c r="O174" s="58" t="s">
        <v>147</v>
      </c>
      <c r="P174" s="50" t="s">
        <v>1163</v>
      </c>
      <c r="Q174" s="50" t="s">
        <v>1163</v>
      </c>
      <c r="R174" s="50" t="s">
        <v>1163</v>
      </c>
      <c r="S174" s="50" t="s">
        <v>1163</v>
      </c>
      <c r="T174" s="58" t="s">
        <v>1</v>
      </c>
      <c r="U174" s="58" t="s">
        <v>138</v>
      </c>
      <c r="V174" s="58" t="s">
        <v>1</v>
      </c>
      <c r="W174" s="58" t="s">
        <v>164</v>
      </c>
      <c r="X174" s="17" t="s">
        <v>1163</v>
      </c>
      <c r="Y174" s="17" t="s">
        <v>1163</v>
      </c>
    </row>
    <row r="175" spans="1:25" x14ac:dyDescent="0.3">
      <c r="A175" s="11" t="s">
        <v>1286</v>
      </c>
      <c r="B175" s="12">
        <v>1154</v>
      </c>
      <c r="C175" s="23" t="s">
        <v>594</v>
      </c>
      <c r="D175" s="23" t="s">
        <v>58</v>
      </c>
      <c r="E175" s="22" t="s">
        <v>595</v>
      </c>
      <c r="F175" s="24">
        <v>45805</v>
      </c>
      <c r="G175" s="22" t="s">
        <v>204</v>
      </c>
      <c r="H175" s="22" t="s">
        <v>596</v>
      </c>
      <c r="I175" s="22" t="s">
        <v>5</v>
      </c>
      <c r="J175" s="22" t="s">
        <v>902</v>
      </c>
      <c r="K175" s="16" t="s">
        <v>39</v>
      </c>
      <c r="L175" s="58" t="s">
        <v>1</v>
      </c>
      <c r="M175" s="58" t="s">
        <v>138</v>
      </c>
      <c r="N175" s="58" t="s">
        <v>4</v>
      </c>
      <c r="O175" s="58" t="s">
        <v>147</v>
      </c>
      <c r="P175" s="58" t="s">
        <v>1163</v>
      </c>
      <c r="Q175" s="58" t="s">
        <v>1163</v>
      </c>
      <c r="R175" s="58" t="s">
        <v>1163</v>
      </c>
      <c r="S175" s="58" t="s">
        <v>1163</v>
      </c>
      <c r="T175" s="58" t="s">
        <v>1</v>
      </c>
      <c r="U175" s="58" t="s">
        <v>138</v>
      </c>
      <c r="V175" s="50" t="s">
        <v>1</v>
      </c>
      <c r="W175" s="50" t="s">
        <v>164</v>
      </c>
      <c r="X175" s="17" t="s">
        <v>1163</v>
      </c>
      <c r="Y175" s="17" t="s">
        <v>1163</v>
      </c>
    </row>
    <row r="176" spans="1:25" x14ac:dyDescent="0.3">
      <c r="A176" s="11" t="s">
        <v>1286</v>
      </c>
      <c r="B176" s="12">
        <v>1274</v>
      </c>
      <c r="C176" s="13" t="s">
        <v>705</v>
      </c>
      <c r="D176" s="13" t="s">
        <v>360</v>
      </c>
      <c r="E176" s="8" t="s">
        <v>706</v>
      </c>
      <c r="F176" s="14">
        <v>45895</v>
      </c>
      <c r="G176" s="8" t="s">
        <v>204</v>
      </c>
      <c r="H176" s="8" t="s">
        <v>707</v>
      </c>
      <c r="I176" s="28" t="s">
        <v>51</v>
      </c>
      <c r="J176" s="8" t="s">
        <v>383</v>
      </c>
      <c r="K176" s="16" t="s">
        <v>57</v>
      </c>
      <c r="L176" s="58" t="s">
        <v>1</v>
      </c>
      <c r="M176" s="58" t="s">
        <v>138</v>
      </c>
      <c r="N176" s="58" t="s">
        <v>4</v>
      </c>
      <c r="O176" s="58" t="s">
        <v>147</v>
      </c>
      <c r="P176" s="58" t="s">
        <v>1</v>
      </c>
      <c r="Q176" s="58" t="s">
        <v>138</v>
      </c>
      <c r="R176" s="58" t="s">
        <v>1163</v>
      </c>
      <c r="S176" s="58" t="s">
        <v>1163</v>
      </c>
      <c r="T176" s="58" t="s">
        <v>1</v>
      </c>
      <c r="U176" s="58" t="s">
        <v>138</v>
      </c>
      <c r="V176" s="58" t="s">
        <v>1</v>
      </c>
      <c r="W176" s="58" t="s">
        <v>164</v>
      </c>
      <c r="X176" s="17" t="s">
        <v>1163</v>
      </c>
      <c r="Y176" s="17" t="s">
        <v>1163</v>
      </c>
    </row>
    <row r="177" spans="1:25" x14ac:dyDescent="0.3">
      <c r="A177" s="11" t="s">
        <v>1286</v>
      </c>
      <c r="B177" s="12">
        <v>1192</v>
      </c>
      <c r="C177" s="23" t="s">
        <v>755</v>
      </c>
      <c r="D177" s="23" t="s">
        <v>756</v>
      </c>
      <c r="E177" s="22" t="s">
        <v>757</v>
      </c>
      <c r="F177" s="24">
        <v>45933</v>
      </c>
      <c r="G177" s="22" t="s">
        <v>204</v>
      </c>
      <c r="H177" s="22" t="s">
        <v>758</v>
      </c>
      <c r="I177" s="22" t="s">
        <v>7</v>
      </c>
      <c r="J177" s="22" t="s">
        <v>403</v>
      </c>
      <c r="K177" s="11" t="s">
        <v>63</v>
      </c>
      <c r="L177" s="58" t="s">
        <v>1</v>
      </c>
      <c r="M177" s="58" t="s">
        <v>138</v>
      </c>
      <c r="N177" s="58" t="s">
        <v>1</v>
      </c>
      <c r="O177" s="58" t="s">
        <v>138</v>
      </c>
      <c r="P177" s="58" t="s">
        <v>1163</v>
      </c>
      <c r="Q177" s="58" t="s">
        <v>1163</v>
      </c>
      <c r="R177" s="58" t="s">
        <v>1</v>
      </c>
      <c r="S177" s="58" t="s">
        <v>138</v>
      </c>
      <c r="T177" s="58" t="s">
        <v>1</v>
      </c>
      <c r="U177" s="58" t="s">
        <v>138</v>
      </c>
      <c r="V177" s="17" t="s">
        <v>1163</v>
      </c>
      <c r="W177" s="17" t="s">
        <v>1163</v>
      </c>
      <c r="X177" s="17" t="s">
        <v>1163</v>
      </c>
      <c r="Y177" s="17" t="s">
        <v>1163</v>
      </c>
    </row>
    <row r="178" spans="1:25" x14ac:dyDescent="0.3">
      <c r="A178" s="11" t="s">
        <v>1286</v>
      </c>
      <c r="B178" s="12"/>
      <c r="C178" s="13" t="s">
        <v>918</v>
      </c>
      <c r="D178" s="13" t="s">
        <v>919</v>
      </c>
      <c r="E178" s="8" t="s">
        <v>937</v>
      </c>
      <c r="F178" s="14">
        <v>46013</v>
      </c>
      <c r="G178" s="8" t="s">
        <v>204</v>
      </c>
      <c r="H178" s="8" t="s">
        <v>927</v>
      </c>
      <c r="I178" s="34" t="s">
        <v>59</v>
      </c>
      <c r="J178" s="34" t="s">
        <v>913</v>
      </c>
      <c r="K178" s="11" t="s">
        <v>52</v>
      </c>
      <c r="L178" s="58" t="s">
        <v>4</v>
      </c>
      <c r="M178" s="58" t="s">
        <v>147</v>
      </c>
      <c r="N178" s="58" t="s">
        <v>1163</v>
      </c>
      <c r="O178" s="58" t="s">
        <v>1163</v>
      </c>
      <c r="P178" s="58" t="s">
        <v>1</v>
      </c>
      <c r="Q178" s="58" t="s">
        <v>138</v>
      </c>
      <c r="R178" s="58" t="s">
        <v>1</v>
      </c>
      <c r="S178" s="58" t="s">
        <v>138</v>
      </c>
      <c r="T178" s="58" t="s">
        <v>813</v>
      </c>
      <c r="U178" s="58" t="s">
        <v>147</v>
      </c>
      <c r="V178" s="58" t="s">
        <v>1163</v>
      </c>
      <c r="W178" s="58" t="s">
        <v>1163</v>
      </c>
      <c r="X178" s="17" t="s">
        <v>1163</v>
      </c>
      <c r="Y178" s="17" t="s">
        <v>1163</v>
      </c>
    </row>
    <row r="179" spans="1:25" x14ac:dyDescent="0.3">
      <c r="A179" s="11" t="s">
        <v>1286</v>
      </c>
      <c r="B179" s="22"/>
      <c r="C179" s="22" t="s">
        <v>1018</v>
      </c>
      <c r="D179" s="22" t="s">
        <v>1019</v>
      </c>
      <c r="E179" s="22" t="s">
        <v>1032</v>
      </c>
      <c r="F179" s="24">
        <v>46062</v>
      </c>
      <c r="G179" s="22" t="s">
        <v>204</v>
      </c>
      <c r="H179" s="22" t="s">
        <v>1020</v>
      </c>
      <c r="I179" s="22" t="s">
        <v>5</v>
      </c>
      <c r="J179" s="22" t="s">
        <v>415</v>
      </c>
      <c r="K179" s="11" t="s">
        <v>50</v>
      </c>
      <c r="L179" s="58" t="s">
        <v>4</v>
      </c>
      <c r="M179" s="58" t="s">
        <v>147</v>
      </c>
      <c r="N179" s="58" t="s">
        <v>4</v>
      </c>
      <c r="O179" s="58" t="s">
        <v>147</v>
      </c>
      <c r="P179" s="58" t="s">
        <v>1</v>
      </c>
      <c r="Q179" s="58" t="s">
        <v>138</v>
      </c>
      <c r="R179" s="58" t="s">
        <v>1</v>
      </c>
      <c r="S179" s="58" t="s">
        <v>138</v>
      </c>
      <c r="T179" s="50" t="s">
        <v>1</v>
      </c>
      <c r="U179" s="50" t="s">
        <v>164</v>
      </c>
      <c r="V179" s="58" t="s">
        <v>1163</v>
      </c>
      <c r="W179" s="58" t="s">
        <v>1163</v>
      </c>
      <c r="X179" s="17" t="s">
        <v>1163</v>
      </c>
      <c r="Y179" s="17" t="s">
        <v>1163</v>
      </c>
    </row>
    <row r="180" spans="1:25" x14ac:dyDescent="0.3">
      <c r="A180" s="11" t="s">
        <v>1286</v>
      </c>
      <c r="B180" s="22"/>
      <c r="C180" s="8" t="s">
        <v>1021</v>
      </c>
      <c r="D180" s="8" t="s">
        <v>58</v>
      </c>
      <c r="E180" s="8" t="s">
        <v>1033</v>
      </c>
      <c r="F180" s="14">
        <v>46062</v>
      </c>
      <c r="G180" s="8" t="s">
        <v>204</v>
      </c>
      <c r="H180" s="8" t="s">
        <v>1022</v>
      </c>
      <c r="I180" s="8" t="s">
        <v>6</v>
      </c>
      <c r="J180" s="8" t="s">
        <v>1036</v>
      </c>
      <c r="K180" s="16" t="s">
        <v>96</v>
      </c>
      <c r="L180" s="58" t="s">
        <v>1</v>
      </c>
      <c r="M180" s="58" t="s">
        <v>138</v>
      </c>
      <c r="N180" s="58" t="s">
        <v>1</v>
      </c>
      <c r="O180" s="58" t="s">
        <v>138</v>
      </c>
      <c r="P180" s="58" t="s">
        <v>1</v>
      </c>
      <c r="Q180" s="58" t="s">
        <v>164</v>
      </c>
      <c r="R180" s="58" t="s">
        <v>1</v>
      </c>
      <c r="S180" s="58" t="s">
        <v>138</v>
      </c>
      <c r="T180" s="58" t="s">
        <v>1</v>
      </c>
      <c r="U180" s="58" t="s">
        <v>138</v>
      </c>
      <c r="V180" s="58" t="s">
        <v>1163</v>
      </c>
      <c r="W180" s="58" t="s">
        <v>1163</v>
      </c>
      <c r="X180" s="17" t="s">
        <v>1163</v>
      </c>
      <c r="Y180" s="17" t="s">
        <v>1163</v>
      </c>
    </row>
    <row r="181" spans="1:25" x14ac:dyDescent="0.3">
      <c r="A181" s="11" t="s">
        <v>1286</v>
      </c>
      <c r="B181" s="12"/>
      <c r="C181" s="13" t="s">
        <v>1023</v>
      </c>
      <c r="D181" s="13" t="s">
        <v>1024</v>
      </c>
      <c r="E181" s="8" t="s">
        <v>1034</v>
      </c>
      <c r="F181" s="14">
        <v>46062</v>
      </c>
      <c r="G181" s="8" t="s">
        <v>204</v>
      </c>
      <c r="H181" s="8" t="s">
        <v>1025</v>
      </c>
      <c r="I181" s="8" t="s">
        <v>7</v>
      </c>
      <c r="J181" s="8" t="s">
        <v>1026</v>
      </c>
      <c r="K181" s="16" t="s">
        <v>63</v>
      </c>
      <c r="L181" s="58" t="s">
        <v>1</v>
      </c>
      <c r="M181" s="58" t="s">
        <v>138</v>
      </c>
      <c r="N181" s="58" t="s">
        <v>1</v>
      </c>
      <c r="O181" s="58" t="s">
        <v>138</v>
      </c>
      <c r="P181" s="58" t="s">
        <v>1</v>
      </c>
      <c r="Q181" s="58" t="s">
        <v>138</v>
      </c>
      <c r="R181" s="58" t="s">
        <v>1163</v>
      </c>
      <c r="S181" s="58" t="s">
        <v>1163</v>
      </c>
      <c r="T181" s="58" t="s">
        <v>1163</v>
      </c>
      <c r="U181" s="58" t="s">
        <v>1163</v>
      </c>
      <c r="V181" s="17" t="s">
        <v>1163</v>
      </c>
      <c r="W181" s="17" t="s">
        <v>1163</v>
      </c>
      <c r="X181" s="17" t="s">
        <v>1163</v>
      </c>
      <c r="Y181" s="17" t="s">
        <v>1163</v>
      </c>
    </row>
    <row r="182" spans="1:25" x14ac:dyDescent="0.3">
      <c r="A182" s="11" t="s">
        <v>1286</v>
      </c>
      <c r="B182" s="12"/>
      <c r="C182" s="12" t="s">
        <v>1138</v>
      </c>
      <c r="D182" s="12" t="s">
        <v>1139</v>
      </c>
      <c r="E182" s="12" t="s">
        <v>1140</v>
      </c>
      <c r="F182" s="24">
        <v>46077</v>
      </c>
      <c r="G182" s="22" t="s">
        <v>204</v>
      </c>
      <c r="H182" s="22" t="s">
        <v>1141</v>
      </c>
      <c r="I182" s="22" t="s">
        <v>59</v>
      </c>
      <c r="J182" s="22" t="s">
        <v>913</v>
      </c>
      <c r="K182" s="16" t="s">
        <v>57</v>
      </c>
      <c r="L182" s="58" t="s">
        <v>1</v>
      </c>
      <c r="M182" s="58" t="s">
        <v>138</v>
      </c>
      <c r="N182" s="58" t="s">
        <v>1</v>
      </c>
      <c r="O182" s="58" t="s">
        <v>138</v>
      </c>
      <c r="P182" s="58" t="s">
        <v>4</v>
      </c>
      <c r="Q182" s="58" t="s">
        <v>147</v>
      </c>
      <c r="R182" s="58" t="s">
        <v>1163</v>
      </c>
      <c r="S182" s="58" t="s">
        <v>1163</v>
      </c>
      <c r="T182" s="58" t="s">
        <v>1163</v>
      </c>
      <c r="U182" s="58" t="s">
        <v>1163</v>
      </c>
      <c r="V182" s="58" t="s">
        <v>1163</v>
      </c>
      <c r="W182" s="58" t="s">
        <v>1163</v>
      </c>
      <c r="X182" s="17" t="s">
        <v>1163</v>
      </c>
      <c r="Y182" s="17" t="s">
        <v>1163</v>
      </c>
    </row>
    <row r="183" spans="1:25" x14ac:dyDescent="0.3">
      <c r="A183" s="11" t="s">
        <v>1286</v>
      </c>
      <c r="B183" s="12">
        <v>1132</v>
      </c>
      <c r="C183" s="13" t="s">
        <v>555</v>
      </c>
      <c r="D183" s="13" t="s">
        <v>556</v>
      </c>
      <c r="E183" s="8" t="s">
        <v>557</v>
      </c>
      <c r="F183" s="14">
        <v>45805</v>
      </c>
      <c r="G183" s="8" t="s">
        <v>454</v>
      </c>
      <c r="H183" s="8" t="s">
        <v>558</v>
      </c>
      <c r="I183" s="8" t="s">
        <v>6</v>
      </c>
      <c r="J183" s="8" t="s">
        <v>559</v>
      </c>
      <c r="K183" s="16" t="s">
        <v>62</v>
      </c>
      <c r="L183" s="58" t="s">
        <v>1</v>
      </c>
      <c r="M183" s="58" t="s">
        <v>138</v>
      </c>
      <c r="N183" s="58" t="s">
        <v>1</v>
      </c>
      <c r="O183" s="58" t="s">
        <v>138</v>
      </c>
      <c r="P183" s="58" t="s">
        <v>1</v>
      </c>
      <c r="Q183" s="58" t="s">
        <v>164</v>
      </c>
      <c r="R183" s="58" t="s">
        <v>1163</v>
      </c>
      <c r="S183" s="58" t="s">
        <v>1163</v>
      </c>
      <c r="T183" s="58" t="s">
        <v>1163</v>
      </c>
      <c r="U183" s="58" t="s">
        <v>1163</v>
      </c>
      <c r="V183" s="58" t="s">
        <v>1163</v>
      </c>
      <c r="W183" s="58" t="s">
        <v>1163</v>
      </c>
      <c r="X183" s="17" t="s">
        <v>1163</v>
      </c>
      <c r="Y183" s="17" t="s">
        <v>1163</v>
      </c>
    </row>
    <row r="184" spans="1:25" x14ac:dyDescent="0.3">
      <c r="A184" s="11" t="s">
        <v>1286</v>
      </c>
      <c r="B184" s="12">
        <v>1145</v>
      </c>
      <c r="C184" s="13" t="s">
        <v>608</v>
      </c>
      <c r="D184" s="13" t="s">
        <v>609</v>
      </c>
      <c r="E184" s="8" t="s">
        <v>610</v>
      </c>
      <c r="F184" s="14">
        <v>45805</v>
      </c>
      <c r="G184" s="8" t="s">
        <v>454</v>
      </c>
      <c r="H184" s="8" t="s">
        <v>611</v>
      </c>
      <c r="I184" s="8" t="s">
        <v>51</v>
      </c>
      <c r="J184" s="8" t="s">
        <v>1098</v>
      </c>
      <c r="K184" s="16" t="s">
        <v>142</v>
      </c>
      <c r="L184" s="58" t="s">
        <v>1163</v>
      </c>
      <c r="M184" s="58" t="s">
        <v>1163</v>
      </c>
      <c r="N184" s="58" t="s">
        <v>1163</v>
      </c>
      <c r="O184" s="58" t="s">
        <v>1163</v>
      </c>
      <c r="P184" s="58" t="s">
        <v>4</v>
      </c>
      <c r="Q184" s="58" t="s">
        <v>147</v>
      </c>
      <c r="R184" s="58" t="s">
        <v>1</v>
      </c>
      <c r="S184" s="58" t="s">
        <v>138</v>
      </c>
      <c r="T184" s="58" t="s">
        <v>1</v>
      </c>
      <c r="U184" s="58" t="s">
        <v>138</v>
      </c>
      <c r="V184" s="58" t="s">
        <v>1</v>
      </c>
      <c r="W184" s="58" t="s">
        <v>164</v>
      </c>
      <c r="X184" s="17" t="s">
        <v>1163</v>
      </c>
      <c r="Y184" s="17" t="s">
        <v>1163</v>
      </c>
    </row>
    <row r="185" spans="1:25" x14ac:dyDescent="0.3">
      <c r="A185" s="11" t="s">
        <v>1286</v>
      </c>
      <c r="B185" s="12">
        <v>1131</v>
      </c>
      <c r="C185" s="13" t="s">
        <v>115</v>
      </c>
      <c r="D185" s="13" t="s">
        <v>537</v>
      </c>
      <c r="E185" s="8" t="s">
        <v>551</v>
      </c>
      <c r="F185" s="14">
        <v>45761</v>
      </c>
      <c r="G185" s="8" t="s">
        <v>454</v>
      </c>
      <c r="H185" s="8" t="s">
        <v>538</v>
      </c>
      <c r="I185" s="28" t="s">
        <v>51</v>
      </c>
      <c r="J185" s="8" t="s">
        <v>539</v>
      </c>
      <c r="K185" s="16" t="s">
        <v>142</v>
      </c>
      <c r="L185" s="58" t="s">
        <v>4</v>
      </c>
      <c r="M185" s="58" t="s">
        <v>147</v>
      </c>
      <c r="N185" s="58" t="s">
        <v>4</v>
      </c>
      <c r="O185" s="58" t="s">
        <v>147</v>
      </c>
      <c r="P185" s="58" t="s">
        <v>4</v>
      </c>
      <c r="Q185" s="58" t="s">
        <v>147</v>
      </c>
      <c r="R185" s="58" t="s">
        <v>4</v>
      </c>
      <c r="S185" s="58" t="s">
        <v>147</v>
      </c>
      <c r="T185" s="58" t="s">
        <v>813</v>
      </c>
      <c r="U185" s="58" t="s">
        <v>147</v>
      </c>
      <c r="V185" s="50" t="s">
        <v>1163</v>
      </c>
      <c r="W185" s="50" t="s">
        <v>1163</v>
      </c>
      <c r="X185" s="17" t="s">
        <v>1163</v>
      </c>
      <c r="Y185" s="21" t="s">
        <v>1163</v>
      </c>
    </row>
    <row r="186" spans="1:25" x14ac:dyDescent="0.3">
      <c r="A186" s="11" t="s">
        <v>1286</v>
      </c>
      <c r="B186" s="12">
        <v>1170</v>
      </c>
      <c r="C186" s="13" t="s">
        <v>582</v>
      </c>
      <c r="D186" s="13" t="s">
        <v>583</v>
      </c>
      <c r="E186" s="8" t="s">
        <v>584</v>
      </c>
      <c r="F186" s="14">
        <v>45805</v>
      </c>
      <c r="G186" s="8" t="s">
        <v>454</v>
      </c>
      <c r="H186" s="8" t="s">
        <v>585</v>
      </c>
      <c r="I186" s="8" t="s">
        <v>7</v>
      </c>
      <c r="J186" s="8" t="s">
        <v>903</v>
      </c>
      <c r="K186" s="16" t="s">
        <v>63</v>
      </c>
      <c r="L186" s="58" t="s">
        <v>1163</v>
      </c>
      <c r="M186" s="58" t="s">
        <v>1163</v>
      </c>
      <c r="N186" s="58" t="s">
        <v>4</v>
      </c>
      <c r="O186" s="58" t="s">
        <v>147</v>
      </c>
      <c r="P186" s="58" t="s">
        <v>2</v>
      </c>
      <c r="Q186" s="58" t="s">
        <v>137</v>
      </c>
      <c r="R186" s="58" t="s">
        <v>2</v>
      </c>
      <c r="S186" s="58" t="s">
        <v>137</v>
      </c>
      <c r="T186" s="58" t="s">
        <v>2</v>
      </c>
      <c r="U186" s="58" t="s">
        <v>138</v>
      </c>
      <c r="V186" s="17" t="s">
        <v>1163</v>
      </c>
      <c r="W186" s="17" t="s">
        <v>1163</v>
      </c>
      <c r="X186" s="17" t="s">
        <v>1163</v>
      </c>
      <c r="Y186" s="17" t="s">
        <v>1163</v>
      </c>
    </row>
    <row r="187" spans="1:25" x14ac:dyDescent="0.3">
      <c r="A187" s="11" t="s">
        <v>1286</v>
      </c>
      <c r="B187" s="12">
        <v>1167</v>
      </c>
      <c r="C187" s="23" t="s">
        <v>597</v>
      </c>
      <c r="D187" s="23" t="s">
        <v>598</v>
      </c>
      <c r="E187" s="22" t="s">
        <v>599</v>
      </c>
      <c r="F187" s="24">
        <v>45805</v>
      </c>
      <c r="G187" s="22" t="s">
        <v>454</v>
      </c>
      <c r="H187" s="22" t="s">
        <v>600</v>
      </c>
      <c r="I187" s="22" t="s">
        <v>51</v>
      </c>
      <c r="J187" s="22" t="s">
        <v>854</v>
      </c>
      <c r="K187" s="16" t="s">
        <v>52</v>
      </c>
      <c r="L187" s="58" t="s">
        <v>1</v>
      </c>
      <c r="M187" s="58" t="s">
        <v>138</v>
      </c>
      <c r="N187" s="58" t="s">
        <v>1</v>
      </c>
      <c r="O187" s="58" t="s">
        <v>138</v>
      </c>
      <c r="P187" s="58" t="s">
        <v>4</v>
      </c>
      <c r="Q187" s="58" t="s">
        <v>147</v>
      </c>
      <c r="R187" s="58" t="s">
        <v>4</v>
      </c>
      <c r="S187" s="58" t="s">
        <v>147</v>
      </c>
      <c r="T187" s="58" t="s">
        <v>1163</v>
      </c>
      <c r="U187" s="58" t="s">
        <v>1163</v>
      </c>
      <c r="V187" s="58" t="s">
        <v>1163</v>
      </c>
      <c r="W187" s="58" t="s">
        <v>1163</v>
      </c>
      <c r="X187" s="17" t="s">
        <v>1163</v>
      </c>
      <c r="Y187" s="17" t="s">
        <v>1163</v>
      </c>
    </row>
    <row r="188" spans="1:25" x14ac:dyDescent="0.3">
      <c r="A188" s="11" t="s">
        <v>1286</v>
      </c>
      <c r="B188" s="12"/>
      <c r="C188" s="13" t="s">
        <v>1047</v>
      </c>
      <c r="D188" s="13" t="s">
        <v>1048</v>
      </c>
      <c r="E188" s="8" t="s">
        <v>1080</v>
      </c>
      <c r="F188" s="14">
        <v>46077</v>
      </c>
      <c r="G188" s="8" t="s">
        <v>454</v>
      </c>
      <c r="H188" s="8" t="s">
        <v>1062</v>
      </c>
      <c r="I188" s="8" t="s">
        <v>51</v>
      </c>
      <c r="J188" s="8" t="s">
        <v>539</v>
      </c>
      <c r="K188" s="16" t="s">
        <v>142</v>
      </c>
      <c r="L188" s="58" t="s">
        <v>4</v>
      </c>
      <c r="M188" s="58" t="s">
        <v>147</v>
      </c>
      <c r="N188" s="58" t="s">
        <v>1</v>
      </c>
      <c r="O188" s="58" t="s">
        <v>138</v>
      </c>
      <c r="P188" s="58" t="s">
        <v>1</v>
      </c>
      <c r="Q188" s="58" t="s">
        <v>138</v>
      </c>
      <c r="R188" s="58" t="s">
        <v>1</v>
      </c>
      <c r="S188" s="58" t="s">
        <v>138</v>
      </c>
      <c r="T188" s="58" t="s">
        <v>813</v>
      </c>
      <c r="U188" s="58" t="s">
        <v>147</v>
      </c>
      <c r="V188" s="58" t="s">
        <v>1163</v>
      </c>
      <c r="W188" s="58" t="s">
        <v>1163</v>
      </c>
      <c r="X188" s="17" t="s">
        <v>1163</v>
      </c>
      <c r="Y188" s="17" t="s">
        <v>1163</v>
      </c>
    </row>
    <row r="189" spans="1:25" x14ac:dyDescent="0.3">
      <c r="A189" s="11" t="s">
        <v>1286</v>
      </c>
      <c r="B189" s="12"/>
      <c r="C189" s="23" t="s">
        <v>1049</v>
      </c>
      <c r="D189" s="23" t="s">
        <v>65</v>
      </c>
      <c r="E189" s="22" t="s">
        <v>1081</v>
      </c>
      <c r="F189" s="24">
        <v>46077</v>
      </c>
      <c r="G189" s="22" t="s">
        <v>454</v>
      </c>
      <c r="H189" s="22" t="s">
        <v>1063</v>
      </c>
      <c r="I189" s="22" t="s">
        <v>51</v>
      </c>
      <c r="J189" s="22" t="s">
        <v>1074</v>
      </c>
      <c r="K189" s="16" t="s">
        <v>52</v>
      </c>
      <c r="L189" s="58" t="s">
        <v>4</v>
      </c>
      <c r="M189" s="58" t="s">
        <v>147</v>
      </c>
      <c r="N189" s="58" t="s">
        <v>4</v>
      </c>
      <c r="O189" s="58" t="s">
        <v>147</v>
      </c>
      <c r="P189" s="58" t="s">
        <v>4</v>
      </c>
      <c r="Q189" s="58" t="s">
        <v>147</v>
      </c>
      <c r="R189" s="58" t="s">
        <v>4</v>
      </c>
      <c r="S189" s="58" t="s">
        <v>147</v>
      </c>
      <c r="T189" s="58" t="s">
        <v>1163</v>
      </c>
      <c r="U189" s="58" t="s">
        <v>1163</v>
      </c>
      <c r="V189" s="58" t="s">
        <v>1163</v>
      </c>
      <c r="W189" s="58" t="s">
        <v>1163</v>
      </c>
      <c r="X189" s="17" t="s">
        <v>1163</v>
      </c>
      <c r="Y189" s="17" t="s">
        <v>1163</v>
      </c>
    </row>
    <row r="190" spans="1:25" x14ac:dyDescent="0.3">
      <c r="A190" s="11" t="s">
        <v>1286</v>
      </c>
      <c r="B190" s="12"/>
      <c r="C190" s="13" t="s">
        <v>1052</v>
      </c>
      <c r="D190" s="13" t="s">
        <v>1053</v>
      </c>
      <c r="E190" s="8" t="s">
        <v>1083</v>
      </c>
      <c r="F190" s="14">
        <v>46077</v>
      </c>
      <c r="G190" s="8" t="s">
        <v>454</v>
      </c>
      <c r="H190" s="8" t="s">
        <v>1065</v>
      </c>
      <c r="I190" s="8" t="s">
        <v>51</v>
      </c>
      <c r="J190" s="8" t="s">
        <v>1054</v>
      </c>
      <c r="K190" s="11" t="s">
        <v>142</v>
      </c>
      <c r="L190" s="58" t="s">
        <v>1</v>
      </c>
      <c r="M190" s="58" t="s">
        <v>138</v>
      </c>
      <c r="N190" s="58" t="s">
        <v>1</v>
      </c>
      <c r="O190" s="58" t="s">
        <v>138</v>
      </c>
      <c r="P190" s="58" t="s">
        <v>1</v>
      </c>
      <c r="Q190" s="58" t="s">
        <v>138</v>
      </c>
      <c r="R190" s="58" t="s">
        <v>4</v>
      </c>
      <c r="S190" s="58" t="s">
        <v>147</v>
      </c>
      <c r="T190" s="58" t="s">
        <v>813</v>
      </c>
      <c r="U190" s="58" t="s">
        <v>147</v>
      </c>
      <c r="V190" s="58" t="s">
        <v>1163</v>
      </c>
      <c r="W190" s="58" t="s">
        <v>1163</v>
      </c>
      <c r="X190" s="17" t="s">
        <v>1163</v>
      </c>
      <c r="Y190" s="17" t="s">
        <v>1163</v>
      </c>
    </row>
    <row r="191" spans="1:25" x14ac:dyDescent="0.3">
      <c r="A191" s="11" t="s">
        <v>1286</v>
      </c>
      <c r="B191" s="12">
        <v>451</v>
      </c>
      <c r="C191" s="23" t="s">
        <v>239</v>
      </c>
      <c r="D191" s="23" t="s">
        <v>240</v>
      </c>
      <c r="E191" s="22" t="s">
        <v>241</v>
      </c>
      <c r="F191" s="24">
        <v>44368</v>
      </c>
      <c r="G191" s="22" t="s">
        <v>242</v>
      </c>
      <c r="H191" s="22" t="s">
        <v>243</v>
      </c>
      <c r="I191" s="15" t="s">
        <v>6</v>
      </c>
      <c r="J191" s="22" t="s">
        <v>223</v>
      </c>
      <c r="K191" s="16" t="s">
        <v>96</v>
      </c>
      <c r="L191" s="58" t="s">
        <v>2</v>
      </c>
      <c r="M191" s="58" t="s">
        <v>138</v>
      </c>
      <c r="N191" s="58" t="s">
        <v>2</v>
      </c>
      <c r="O191" s="58" t="s">
        <v>138</v>
      </c>
      <c r="P191" s="58" t="s">
        <v>2</v>
      </c>
      <c r="Q191" s="58" t="s">
        <v>138</v>
      </c>
      <c r="R191" s="58" t="s">
        <v>2</v>
      </c>
      <c r="S191" s="58" t="s">
        <v>138</v>
      </c>
      <c r="T191" s="58" t="s">
        <v>2</v>
      </c>
      <c r="U191" s="58" t="s">
        <v>138</v>
      </c>
      <c r="V191" s="50" t="s">
        <v>1163</v>
      </c>
      <c r="W191" s="51" t="s">
        <v>1163</v>
      </c>
      <c r="X191" s="17" t="s">
        <v>1163</v>
      </c>
      <c r="Y191" s="21" t="s">
        <v>1163</v>
      </c>
    </row>
    <row r="192" spans="1:25" x14ac:dyDescent="0.3">
      <c r="A192" s="11" t="s">
        <v>1286</v>
      </c>
      <c r="B192" s="12">
        <v>987</v>
      </c>
      <c r="C192" s="13" t="s">
        <v>397</v>
      </c>
      <c r="D192" s="13" t="s">
        <v>398</v>
      </c>
      <c r="E192" s="8" t="s">
        <v>399</v>
      </c>
      <c r="F192" s="14">
        <v>45565</v>
      </c>
      <c r="G192" s="8" t="s">
        <v>388</v>
      </c>
      <c r="H192" s="8" t="s">
        <v>400</v>
      </c>
      <c r="I192" s="8" t="s">
        <v>7</v>
      </c>
      <c r="J192" s="8" t="s">
        <v>470</v>
      </c>
      <c r="K192" s="16" t="s">
        <v>63</v>
      </c>
      <c r="L192" s="65" t="s">
        <v>2</v>
      </c>
      <c r="M192" s="65" t="s">
        <v>138</v>
      </c>
      <c r="N192" s="65" t="s">
        <v>2</v>
      </c>
      <c r="O192" s="65" t="s">
        <v>138</v>
      </c>
      <c r="P192" s="65" t="s">
        <v>2</v>
      </c>
      <c r="Q192" s="65" t="s">
        <v>138</v>
      </c>
      <c r="R192" s="65" t="s">
        <v>2</v>
      </c>
      <c r="S192" s="65" t="s">
        <v>138</v>
      </c>
      <c r="T192" s="65" t="s">
        <v>2</v>
      </c>
      <c r="U192" s="65" t="s">
        <v>138</v>
      </c>
      <c r="V192" s="50" t="s">
        <v>1163</v>
      </c>
      <c r="W192" s="51" t="s">
        <v>1163</v>
      </c>
      <c r="X192" s="17" t="s">
        <v>1163</v>
      </c>
      <c r="Y192" s="21" t="s">
        <v>1163</v>
      </c>
    </row>
    <row r="193" spans="1:25" x14ac:dyDescent="0.3">
      <c r="A193" s="11" t="s">
        <v>1286</v>
      </c>
      <c r="B193" s="12">
        <v>1012</v>
      </c>
      <c r="C193" s="13" t="s">
        <v>359</v>
      </c>
      <c r="D193" s="13" t="s">
        <v>360</v>
      </c>
      <c r="E193" s="8" t="s">
        <v>361</v>
      </c>
      <c r="F193" s="14">
        <v>45565</v>
      </c>
      <c r="G193" s="8" t="s">
        <v>357</v>
      </c>
      <c r="H193" s="22" t="s">
        <v>362</v>
      </c>
      <c r="I193" s="28" t="s">
        <v>51</v>
      </c>
      <c r="J193" s="8" t="s">
        <v>363</v>
      </c>
      <c r="K193" s="16" t="s">
        <v>142</v>
      </c>
      <c r="L193" s="50" t="s">
        <v>1163</v>
      </c>
      <c r="M193" s="51" t="s">
        <v>1163</v>
      </c>
      <c r="N193" s="58" t="s">
        <v>2</v>
      </c>
      <c r="O193" s="58" t="s">
        <v>137</v>
      </c>
      <c r="P193" s="58" t="s">
        <v>2</v>
      </c>
      <c r="Q193" s="58" t="s">
        <v>137</v>
      </c>
      <c r="R193" s="58" t="s">
        <v>3</v>
      </c>
      <c r="S193" s="58" t="s">
        <v>137</v>
      </c>
      <c r="T193" s="58" t="s">
        <v>3</v>
      </c>
      <c r="U193" s="58" t="s">
        <v>137</v>
      </c>
      <c r="V193" s="50" t="s">
        <v>1163</v>
      </c>
      <c r="W193" s="51" t="s">
        <v>1163</v>
      </c>
      <c r="X193" s="17" t="s">
        <v>1163</v>
      </c>
      <c r="Y193" s="21" t="s">
        <v>1163</v>
      </c>
    </row>
    <row r="194" spans="1:25" x14ac:dyDescent="0.3">
      <c r="A194" s="11" t="s">
        <v>1286</v>
      </c>
      <c r="B194" s="12">
        <v>983</v>
      </c>
      <c r="C194" s="13" t="s">
        <v>114</v>
      </c>
      <c r="D194" s="13" t="s">
        <v>430</v>
      </c>
      <c r="E194" s="8" t="s">
        <v>431</v>
      </c>
      <c r="F194" s="14">
        <v>45531</v>
      </c>
      <c r="G194" s="8" t="s">
        <v>357</v>
      </c>
      <c r="H194" s="22" t="s">
        <v>358</v>
      </c>
      <c r="I194" s="8" t="s">
        <v>7</v>
      </c>
      <c r="J194" s="8" t="s">
        <v>403</v>
      </c>
      <c r="K194" s="16" t="s">
        <v>63</v>
      </c>
      <c r="L194" s="58" t="s">
        <v>2</v>
      </c>
      <c r="M194" s="58" t="s">
        <v>138</v>
      </c>
      <c r="N194" s="58" t="s">
        <v>2</v>
      </c>
      <c r="O194" s="58" t="s">
        <v>138</v>
      </c>
      <c r="P194" s="58" t="s">
        <v>2</v>
      </c>
      <c r="Q194" s="58" t="s">
        <v>138</v>
      </c>
      <c r="R194" s="58" t="s">
        <v>2</v>
      </c>
      <c r="S194" s="58" t="s">
        <v>138</v>
      </c>
      <c r="T194" s="58" t="s">
        <v>2</v>
      </c>
      <c r="U194" s="58" t="s">
        <v>138</v>
      </c>
      <c r="V194" s="50" t="s">
        <v>1163</v>
      </c>
      <c r="W194" s="51" t="s">
        <v>1163</v>
      </c>
      <c r="X194" s="17" t="s">
        <v>1163</v>
      </c>
      <c r="Y194" s="21" t="s">
        <v>1163</v>
      </c>
    </row>
    <row r="195" spans="1:25" x14ac:dyDescent="0.3">
      <c r="A195" s="11" t="s">
        <v>1286</v>
      </c>
      <c r="B195" s="42">
        <v>925</v>
      </c>
      <c r="C195" s="13" t="s">
        <v>156</v>
      </c>
      <c r="D195" s="13" t="s">
        <v>157</v>
      </c>
      <c r="E195" s="43" t="s">
        <v>165</v>
      </c>
      <c r="F195" s="44">
        <v>45329</v>
      </c>
      <c r="G195" s="43" t="s">
        <v>43</v>
      </c>
      <c r="H195" s="45" t="s">
        <v>158</v>
      </c>
      <c r="I195" s="43" t="s">
        <v>6</v>
      </c>
      <c r="J195" s="43" t="s">
        <v>159</v>
      </c>
      <c r="K195" s="46" t="s">
        <v>62</v>
      </c>
      <c r="L195" s="57" t="s">
        <v>1</v>
      </c>
      <c r="M195" s="57" t="s">
        <v>138</v>
      </c>
      <c r="N195" s="57" t="s">
        <v>1</v>
      </c>
      <c r="O195" s="57" t="s">
        <v>138</v>
      </c>
      <c r="P195" s="57" t="s">
        <v>1</v>
      </c>
      <c r="Q195" s="57" t="s">
        <v>138</v>
      </c>
      <c r="R195" s="57" t="s">
        <v>1163</v>
      </c>
      <c r="S195" s="57" t="s">
        <v>1163</v>
      </c>
      <c r="T195" s="57" t="s">
        <v>1</v>
      </c>
      <c r="U195" s="57" t="s">
        <v>138</v>
      </c>
      <c r="V195" s="57" t="s">
        <v>1</v>
      </c>
      <c r="W195" s="57" t="s">
        <v>164</v>
      </c>
      <c r="X195" s="57" t="s">
        <v>1163</v>
      </c>
      <c r="Y195" s="57" t="s">
        <v>1163</v>
      </c>
    </row>
    <row r="196" spans="1:25" x14ac:dyDescent="0.3">
      <c r="A196" s="11" t="s">
        <v>1286</v>
      </c>
      <c r="B196" s="42">
        <v>444</v>
      </c>
      <c r="C196" s="23" t="s">
        <v>101</v>
      </c>
      <c r="D196" s="23" t="s">
        <v>102</v>
      </c>
      <c r="E196" s="9" t="s">
        <v>103</v>
      </c>
      <c r="F196" s="47">
        <v>44354</v>
      </c>
      <c r="G196" s="9" t="s">
        <v>43</v>
      </c>
      <c r="H196" s="45" t="s">
        <v>540</v>
      </c>
      <c r="I196" s="48" t="s">
        <v>7</v>
      </c>
      <c r="J196" s="43" t="s">
        <v>900</v>
      </c>
      <c r="K196" s="46" t="s">
        <v>63</v>
      </c>
      <c r="L196" s="57" t="s">
        <v>1163</v>
      </c>
      <c r="M196" s="57" t="s">
        <v>1163</v>
      </c>
      <c r="N196" s="57" t="s">
        <v>1163</v>
      </c>
      <c r="O196" s="57" t="s">
        <v>1163</v>
      </c>
      <c r="P196" s="57" t="s">
        <v>1163</v>
      </c>
      <c r="Q196" s="57" t="s">
        <v>1163</v>
      </c>
      <c r="R196" s="57" t="s">
        <v>1163</v>
      </c>
      <c r="S196" s="57" t="s">
        <v>1163</v>
      </c>
      <c r="T196" s="57" t="s">
        <v>1163</v>
      </c>
      <c r="U196" s="57" t="s">
        <v>1163</v>
      </c>
      <c r="V196" s="57" t="s">
        <v>1163</v>
      </c>
      <c r="W196" s="57" t="s">
        <v>1163</v>
      </c>
      <c r="X196" s="57" t="s">
        <v>1163</v>
      </c>
      <c r="Y196" s="57" t="s">
        <v>1163</v>
      </c>
    </row>
    <row r="197" spans="1:25" x14ac:dyDescent="0.3">
      <c r="A197" s="11" t="s">
        <v>1286</v>
      </c>
      <c r="B197" s="42">
        <v>1341</v>
      </c>
      <c r="C197" s="13" t="s">
        <v>784</v>
      </c>
      <c r="D197" s="13" t="s">
        <v>428</v>
      </c>
      <c r="E197" s="43" t="s">
        <v>797</v>
      </c>
      <c r="F197" s="44">
        <v>45951</v>
      </c>
      <c r="G197" s="43" t="s">
        <v>43</v>
      </c>
      <c r="H197" s="43" t="s">
        <v>798</v>
      </c>
      <c r="I197" s="43" t="s">
        <v>51</v>
      </c>
      <c r="J197" s="43" t="s">
        <v>949</v>
      </c>
      <c r="K197" s="46" t="s">
        <v>52</v>
      </c>
      <c r="L197" s="57" t="s">
        <v>1163</v>
      </c>
      <c r="M197" s="57" t="s">
        <v>1163</v>
      </c>
      <c r="N197" s="57" t="s">
        <v>1163</v>
      </c>
      <c r="O197" s="57" t="s">
        <v>1163</v>
      </c>
      <c r="P197" s="57" t="s">
        <v>1163</v>
      </c>
      <c r="Q197" s="57" t="s">
        <v>1163</v>
      </c>
      <c r="R197" s="57" t="s">
        <v>1163</v>
      </c>
      <c r="S197" s="57" t="s">
        <v>1163</v>
      </c>
      <c r="T197" s="57" t="s">
        <v>1163</v>
      </c>
      <c r="U197" s="57" t="s">
        <v>1163</v>
      </c>
      <c r="V197" s="57" t="s">
        <v>1163</v>
      </c>
      <c r="W197" s="57" t="s">
        <v>1163</v>
      </c>
      <c r="X197" s="57" t="s">
        <v>1163</v>
      </c>
      <c r="Y197" s="57" t="s">
        <v>1163</v>
      </c>
    </row>
    <row r="198" spans="1:25" x14ac:dyDescent="0.3">
      <c r="A198" s="11" t="s">
        <v>1286</v>
      </c>
      <c r="B198" s="42">
        <v>1118</v>
      </c>
      <c r="C198" s="23" t="s">
        <v>499</v>
      </c>
      <c r="D198" s="23" t="s">
        <v>500</v>
      </c>
      <c r="E198" s="9" t="s">
        <v>501</v>
      </c>
      <c r="F198" s="47">
        <v>45721</v>
      </c>
      <c r="G198" s="9" t="s">
        <v>43</v>
      </c>
      <c r="H198" s="9" t="s">
        <v>502</v>
      </c>
      <c r="I198" s="9" t="s">
        <v>6</v>
      </c>
      <c r="J198" s="43" t="s">
        <v>503</v>
      </c>
      <c r="K198" s="46" t="s">
        <v>96</v>
      </c>
      <c r="L198" s="57" t="s">
        <v>1</v>
      </c>
      <c r="M198" s="57" t="s">
        <v>138</v>
      </c>
      <c r="N198" s="57" t="s">
        <v>1</v>
      </c>
      <c r="O198" s="57" t="s">
        <v>138</v>
      </c>
      <c r="P198" s="57" t="s">
        <v>1</v>
      </c>
      <c r="Q198" s="57" t="s">
        <v>138</v>
      </c>
      <c r="R198" s="57" t="s">
        <v>1</v>
      </c>
      <c r="S198" s="57" t="s">
        <v>138</v>
      </c>
      <c r="T198" s="57" t="s">
        <v>1163</v>
      </c>
      <c r="U198" s="57" t="s">
        <v>1163</v>
      </c>
      <c r="V198" s="57" t="s">
        <v>1</v>
      </c>
      <c r="W198" s="57" t="s">
        <v>164</v>
      </c>
      <c r="X198" s="57" t="s">
        <v>1163</v>
      </c>
      <c r="Y198" s="57" t="s">
        <v>1163</v>
      </c>
    </row>
    <row r="199" spans="1:25" x14ac:dyDescent="0.3">
      <c r="A199" s="11" t="s">
        <v>1286</v>
      </c>
      <c r="B199" s="42">
        <v>1361</v>
      </c>
      <c r="C199" s="13" t="s">
        <v>822</v>
      </c>
      <c r="D199" s="13" t="s">
        <v>425</v>
      </c>
      <c r="E199" s="43" t="s">
        <v>830</v>
      </c>
      <c r="F199" s="44">
        <v>45959</v>
      </c>
      <c r="G199" s="43" t="s">
        <v>43</v>
      </c>
      <c r="H199" s="43" t="s">
        <v>837</v>
      </c>
      <c r="I199" s="43" t="s">
        <v>5</v>
      </c>
      <c r="J199" s="43" t="s">
        <v>879</v>
      </c>
      <c r="K199" s="46" t="s">
        <v>39</v>
      </c>
      <c r="L199" s="57" t="s">
        <v>1</v>
      </c>
      <c r="M199" s="57" t="s">
        <v>138</v>
      </c>
      <c r="N199" s="57" t="s">
        <v>1</v>
      </c>
      <c r="O199" s="57" t="s">
        <v>138</v>
      </c>
      <c r="P199" s="57" t="s">
        <v>1</v>
      </c>
      <c r="Q199" s="57" t="s">
        <v>138</v>
      </c>
      <c r="R199" s="57" t="s">
        <v>1</v>
      </c>
      <c r="S199" s="57" t="s">
        <v>138</v>
      </c>
      <c r="T199" s="57" t="s">
        <v>1163</v>
      </c>
      <c r="U199" s="57" t="s">
        <v>1163</v>
      </c>
      <c r="V199" s="57" t="s">
        <v>1</v>
      </c>
      <c r="W199" s="57" t="s">
        <v>164</v>
      </c>
      <c r="X199" s="57" t="s">
        <v>1163</v>
      </c>
      <c r="Y199" s="57" t="s">
        <v>1163</v>
      </c>
    </row>
    <row r="200" spans="1:25" x14ac:dyDescent="0.3">
      <c r="A200" s="11" t="s">
        <v>1286</v>
      </c>
      <c r="B200" s="42">
        <v>881</v>
      </c>
      <c r="C200" s="23" t="s">
        <v>151</v>
      </c>
      <c r="D200" s="23" t="s">
        <v>152</v>
      </c>
      <c r="E200" s="9" t="s">
        <v>154</v>
      </c>
      <c r="F200" s="47">
        <v>45285</v>
      </c>
      <c r="G200" s="9" t="s">
        <v>43</v>
      </c>
      <c r="H200" s="9" t="s">
        <v>153</v>
      </c>
      <c r="I200" s="9" t="s">
        <v>51</v>
      </c>
      <c r="J200" s="43" t="s">
        <v>127</v>
      </c>
      <c r="K200" s="46" t="s">
        <v>52</v>
      </c>
      <c r="L200" s="57" t="s">
        <v>3</v>
      </c>
      <c r="M200" s="57" t="s">
        <v>139</v>
      </c>
      <c r="N200" s="57" t="s">
        <v>3</v>
      </c>
      <c r="O200" s="57" t="s">
        <v>139</v>
      </c>
      <c r="P200" s="57" t="s">
        <v>3</v>
      </c>
      <c r="Q200" s="57" t="s">
        <v>139</v>
      </c>
      <c r="R200" s="57" t="s">
        <v>3</v>
      </c>
      <c r="S200" s="57" t="s">
        <v>139</v>
      </c>
      <c r="T200" s="57" t="s">
        <v>4</v>
      </c>
      <c r="U200" s="57" t="s">
        <v>139</v>
      </c>
      <c r="V200" s="57" t="s">
        <v>1163</v>
      </c>
      <c r="W200" s="57" t="s">
        <v>1163</v>
      </c>
      <c r="X200" s="57" t="s">
        <v>1163</v>
      </c>
      <c r="Y200" s="57" t="s">
        <v>1163</v>
      </c>
    </row>
    <row r="201" spans="1:25" x14ac:dyDescent="0.3">
      <c r="A201" s="11" t="s">
        <v>1286</v>
      </c>
      <c r="B201" s="42">
        <v>138</v>
      </c>
      <c r="C201" s="23" t="s">
        <v>64</v>
      </c>
      <c r="D201" s="23" t="s">
        <v>65</v>
      </c>
      <c r="E201" s="9" t="s">
        <v>66</v>
      </c>
      <c r="F201" s="47">
        <v>43760</v>
      </c>
      <c r="G201" s="9" t="s">
        <v>43</v>
      </c>
      <c r="H201" s="9" t="s">
        <v>67</v>
      </c>
      <c r="I201" s="9" t="s">
        <v>51</v>
      </c>
      <c r="J201" s="43" t="s">
        <v>68</v>
      </c>
      <c r="K201" s="46" t="s">
        <v>142</v>
      </c>
      <c r="L201" s="57" t="s">
        <v>2</v>
      </c>
      <c r="M201" s="57" t="s">
        <v>137</v>
      </c>
      <c r="N201" s="57" t="s">
        <v>2</v>
      </c>
      <c r="O201" s="57" t="s">
        <v>137</v>
      </c>
      <c r="P201" s="57" t="s">
        <v>2</v>
      </c>
      <c r="Q201" s="57" t="s">
        <v>137</v>
      </c>
      <c r="R201" s="57" t="s">
        <v>2</v>
      </c>
      <c r="S201" s="57" t="s">
        <v>137</v>
      </c>
      <c r="T201" s="57" t="s">
        <v>3</v>
      </c>
      <c r="U201" s="57" t="s">
        <v>137</v>
      </c>
      <c r="V201" s="57" t="s">
        <v>1163</v>
      </c>
      <c r="W201" s="57" t="s">
        <v>1163</v>
      </c>
      <c r="X201" s="57" t="s">
        <v>1163</v>
      </c>
      <c r="Y201" s="57" t="s">
        <v>1163</v>
      </c>
    </row>
    <row r="202" spans="1:25" x14ac:dyDescent="0.3">
      <c r="A202" s="11" t="s">
        <v>1286</v>
      </c>
      <c r="B202" s="42">
        <v>1276</v>
      </c>
      <c r="C202" s="13" t="s">
        <v>792</v>
      </c>
      <c r="D202" s="13" t="s">
        <v>793</v>
      </c>
      <c r="E202" s="43" t="s">
        <v>807</v>
      </c>
      <c r="F202" s="44">
        <v>45951</v>
      </c>
      <c r="G202" s="43" t="s">
        <v>43</v>
      </c>
      <c r="H202" s="43" t="s">
        <v>808</v>
      </c>
      <c r="I202" s="43" t="s">
        <v>51</v>
      </c>
      <c r="J202" s="43" t="s">
        <v>854</v>
      </c>
      <c r="K202" s="46" t="s">
        <v>52</v>
      </c>
      <c r="L202" s="57" t="s">
        <v>3</v>
      </c>
      <c r="M202" s="57" t="s">
        <v>139</v>
      </c>
      <c r="N202" s="57" t="s">
        <v>3</v>
      </c>
      <c r="O202" s="57" t="s">
        <v>139</v>
      </c>
      <c r="P202" s="57" t="s">
        <v>3</v>
      </c>
      <c r="Q202" s="57" t="s">
        <v>139</v>
      </c>
      <c r="R202" s="57" t="s">
        <v>3</v>
      </c>
      <c r="S202" s="57" t="s">
        <v>139</v>
      </c>
      <c r="T202" s="57" t="s">
        <v>4</v>
      </c>
      <c r="U202" s="57" t="s">
        <v>139</v>
      </c>
      <c r="V202" s="57" t="s">
        <v>1163</v>
      </c>
      <c r="W202" s="57" t="s">
        <v>1163</v>
      </c>
      <c r="X202" s="57" t="s">
        <v>1163</v>
      </c>
      <c r="Y202" s="57" t="s">
        <v>1163</v>
      </c>
    </row>
    <row r="203" spans="1:25" x14ac:dyDescent="0.3">
      <c r="A203" s="11" t="s">
        <v>1286</v>
      </c>
      <c r="B203" s="42">
        <v>961</v>
      </c>
      <c r="C203" s="23" t="s">
        <v>166</v>
      </c>
      <c r="D203" s="23" t="s">
        <v>97</v>
      </c>
      <c r="E203" s="9" t="s">
        <v>167</v>
      </c>
      <c r="F203" s="47">
        <v>45446</v>
      </c>
      <c r="G203" s="9" t="s">
        <v>43</v>
      </c>
      <c r="H203" s="9" t="s">
        <v>168</v>
      </c>
      <c r="I203" s="9" t="s">
        <v>6</v>
      </c>
      <c r="J203" s="43" t="s">
        <v>452</v>
      </c>
      <c r="K203" s="46" t="s">
        <v>96</v>
      </c>
      <c r="L203" s="57" t="s">
        <v>2</v>
      </c>
      <c r="M203" s="57" t="s">
        <v>137</v>
      </c>
      <c r="N203" s="57" t="s">
        <v>2</v>
      </c>
      <c r="O203" s="57" t="s">
        <v>137</v>
      </c>
      <c r="P203" s="57" t="s">
        <v>2</v>
      </c>
      <c r="Q203" s="57" t="s">
        <v>137</v>
      </c>
      <c r="R203" s="57" t="s">
        <v>2</v>
      </c>
      <c r="S203" s="57" t="s">
        <v>137</v>
      </c>
      <c r="T203" s="57" t="s">
        <v>1163</v>
      </c>
      <c r="U203" s="57" t="s">
        <v>1163</v>
      </c>
      <c r="V203" s="66" t="s">
        <v>1</v>
      </c>
      <c r="W203" s="66" t="s">
        <v>164</v>
      </c>
      <c r="X203" s="57" t="s">
        <v>1163</v>
      </c>
      <c r="Y203" s="57" t="s">
        <v>1163</v>
      </c>
    </row>
    <row r="204" spans="1:25" x14ac:dyDescent="0.3">
      <c r="A204" s="11" t="s">
        <v>1286</v>
      </c>
      <c r="B204" s="42">
        <v>1320</v>
      </c>
      <c r="C204" s="13" t="s">
        <v>733</v>
      </c>
      <c r="D204" s="13" t="s">
        <v>65</v>
      </c>
      <c r="E204" s="43" t="s">
        <v>741</v>
      </c>
      <c r="F204" s="44">
        <v>45908</v>
      </c>
      <c r="G204" s="43" t="s">
        <v>43</v>
      </c>
      <c r="H204" s="43" t="s">
        <v>734</v>
      </c>
      <c r="I204" s="43" t="s">
        <v>51</v>
      </c>
      <c r="J204" s="43" t="s">
        <v>320</v>
      </c>
      <c r="K204" s="46" t="s">
        <v>52</v>
      </c>
      <c r="L204" s="57" t="s">
        <v>3</v>
      </c>
      <c r="M204" s="57" t="s">
        <v>139</v>
      </c>
      <c r="N204" s="57" t="s">
        <v>3</v>
      </c>
      <c r="O204" s="57" t="s">
        <v>139</v>
      </c>
      <c r="P204" s="57" t="s">
        <v>3</v>
      </c>
      <c r="Q204" s="57" t="s">
        <v>139</v>
      </c>
      <c r="R204" s="57" t="s">
        <v>3</v>
      </c>
      <c r="S204" s="57" t="s">
        <v>139</v>
      </c>
      <c r="T204" s="57" t="s">
        <v>4</v>
      </c>
      <c r="U204" s="57" t="s">
        <v>139</v>
      </c>
      <c r="V204" s="57" t="s">
        <v>1163</v>
      </c>
      <c r="W204" s="57" t="s">
        <v>1163</v>
      </c>
      <c r="X204" s="57" t="s">
        <v>1163</v>
      </c>
      <c r="Y204" s="57" t="s">
        <v>1163</v>
      </c>
    </row>
    <row r="205" spans="1:25" x14ac:dyDescent="0.3">
      <c r="A205" s="11" t="s">
        <v>1286</v>
      </c>
      <c r="B205" s="42">
        <v>1360</v>
      </c>
      <c r="C205" s="23" t="s">
        <v>819</v>
      </c>
      <c r="D205" s="23" t="s">
        <v>128</v>
      </c>
      <c r="E205" s="9" t="s">
        <v>827</v>
      </c>
      <c r="F205" s="47">
        <v>45959</v>
      </c>
      <c r="G205" s="9" t="s">
        <v>43</v>
      </c>
      <c r="H205" s="9" t="s">
        <v>834</v>
      </c>
      <c r="I205" s="9" t="s">
        <v>51</v>
      </c>
      <c r="J205" s="43" t="s">
        <v>484</v>
      </c>
      <c r="K205" s="46" t="s">
        <v>57</v>
      </c>
      <c r="L205" s="57" t="s">
        <v>3</v>
      </c>
      <c r="M205" s="57" t="s">
        <v>139</v>
      </c>
      <c r="N205" s="57" t="s">
        <v>3</v>
      </c>
      <c r="O205" s="57" t="s">
        <v>139</v>
      </c>
      <c r="P205" s="57" t="s">
        <v>3</v>
      </c>
      <c r="Q205" s="57" t="s">
        <v>139</v>
      </c>
      <c r="R205" s="57" t="s">
        <v>3</v>
      </c>
      <c r="S205" s="57" t="s">
        <v>139</v>
      </c>
      <c r="T205" s="57" t="s">
        <v>4</v>
      </c>
      <c r="U205" s="57" t="s">
        <v>139</v>
      </c>
      <c r="V205" s="57" t="s">
        <v>1163</v>
      </c>
      <c r="W205" s="57" t="s">
        <v>1163</v>
      </c>
      <c r="X205" s="57" t="s">
        <v>1163</v>
      </c>
      <c r="Y205" s="57" t="s">
        <v>1163</v>
      </c>
    </row>
    <row r="206" spans="1:25" x14ac:dyDescent="0.3">
      <c r="A206" s="11" t="s">
        <v>1286</v>
      </c>
      <c r="B206" s="42">
        <v>1324</v>
      </c>
      <c r="C206" s="13" t="s">
        <v>737</v>
      </c>
      <c r="D206" s="13" t="s">
        <v>738</v>
      </c>
      <c r="E206" s="43" t="s">
        <v>742</v>
      </c>
      <c r="F206" s="44">
        <v>45908</v>
      </c>
      <c r="G206" s="43" t="s">
        <v>43</v>
      </c>
      <c r="H206" s="43" t="s">
        <v>739</v>
      </c>
      <c r="I206" s="43" t="s">
        <v>5</v>
      </c>
      <c r="J206" s="43" t="s">
        <v>462</v>
      </c>
      <c r="K206" s="46" t="s">
        <v>50</v>
      </c>
      <c r="L206" s="57" t="s">
        <v>1</v>
      </c>
      <c r="M206" s="57" t="s">
        <v>138</v>
      </c>
      <c r="N206" s="57" t="s">
        <v>1</v>
      </c>
      <c r="O206" s="57" t="s">
        <v>138</v>
      </c>
      <c r="P206" s="57" t="s">
        <v>1</v>
      </c>
      <c r="Q206" s="57" t="s">
        <v>138</v>
      </c>
      <c r="R206" s="57" t="s">
        <v>1</v>
      </c>
      <c r="S206" s="57" t="s">
        <v>138</v>
      </c>
      <c r="T206" s="57" t="s">
        <v>1</v>
      </c>
      <c r="U206" s="57" t="s">
        <v>164</v>
      </c>
      <c r="V206" s="57" t="s">
        <v>1163</v>
      </c>
      <c r="W206" s="57" t="s">
        <v>1163</v>
      </c>
      <c r="X206" s="57" t="s">
        <v>1163</v>
      </c>
      <c r="Y206" s="57" t="s">
        <v>1163</v>
      </c>
    </row>
    <row r="207" spans="1:25" x14ac:dyDescent="0.3">
      <c r="A207" s="11" t="s">
        <v>1286</v>
      </c>
      <c r="B207" s="42">
        <v>1086</v>
      </c>
      <c r="C207" s="23" t="s">
        <v>476</v>
      </c>
      <c r="D207" s="23" t="s">
        <v>425</v>
      </c>
      <c r="E207" s="9" t="s">
        <v>477</v>
      </c>
      <c r="F207" s="47">
        <v>45712</v>
      </c>
      <c r="G207" s="9" t="s">
        <v>43</v>
      </c>
      <c r="H207" s="9" t="s">
        <v>478</v>
      </c>
      <c r="I207" s="9" t="s">
        <v>59</v>
      </c>
      <c r="J207" s="43" t="s">
        <v>718</v>
      </c>
      <c r="K207" s="46" t="s">
        <v>57</v>
      </c>
      <c r="L207" s="57" t="s">
        <v>2</v>
      </c>
      <c r="M207" s="57" t="s">
        <v>137</v>
      </c>
      <c r="N207" s="57" t="s">
        <v>2</v>
      </c>
      <c r="O207" s="57" t="s">
        <v>137</v>
      </c>
      <c r="P207" s="57" t="s">
        <v>2</v>
      </c>
      <c r="Q207" s="57" t="s">
        <v>137</v>
      </c>
      <c r="R207" s="57" t="s">
        <v>2</v>
      </c>
      <c r="S207" s="57" t="s">
        <v>137</v>
      </c>
      <c r="T207" s="57" t="s">
        <v>2</v>
      </c>
      <c r="U207" s="57" t="s">
        <v>138</v>
      </c>
      <c r="V207" s="57" t="s">
        <v>1163</v>
      </c>
      <c r="W207" s="57" t="s">
        <v>1163</v>
      </c>
      <c r="X207" s="57" t="s">
        <v>1163</v>
      </c>
      <c r="Y207" s="57" t="s">
        <v>1163</v>
      </c>
    </row>
    <row r="208" spans="1:25" x14ac:dyDescent="0.3">
      <c r="A208" s="11" t="s">
        <v>1286</v>
      </c>
      <c r="B208" s="42">
        <v>1318</v>
      </c>
      <c r="C208" s="13" t="s">
        <v>731</v>
      </c>
      <c r="D208" s="13" t="s">
        <v>65</v>
      </c>
      <c r="E208" s="43" t="s">
        <v>743</v>
      </c>
      <c r="F208" s="44">
        <v>45908</v>
      </c>
      <c r="G208" s="43" t="s">
        <v>43</v>
      </c>
      <c r="H208" s="43" t="s">
        <v>732</v>
      </c>
      <c r="I208" s="48" t="s">
        <v>7</v>
      </c>
      <c r="J208" s="43" t="s">
        <v>684</v>
      </c>
      <c r="K208" s="46" t="s">
        <v>63</v>
      </c>
      <c r="L208" s="57" t="s">
        <v>2</v>
      </c>
      <c r="M208" s="57" t="s">
        <v>137</v>
      </c>
      <c r="N208" s="57" t="s">
        <v>2</v>
      </c>
      <c r="O208" s="57" t="s">
        <v>137</v>
      </c>
      <c r="P208" s="57" t="s">
        <v>2</v>
      </c>
      <c r="Q208" s="57" t="s">
        <v>137</v>
      </c>
      <c r="R208" s="57" t="s">
        <v>2</v>
      </c>
      <c r="S208" s="57" t="s">
        <v>137</v>
      </c>
      <c r="T208" s="57" t="s">
        <v>1163</v>
      </c>
      <c r="U208" s="57" t="s">
        <v>1163</v>
      </c>
      <c r="V208" s="57" t="s">
        <v>2</v>
      </c>
      <c r="W208" s="57" t="s">
        <v>138</v>
      </c>
      <c r="X208" s="57" t="s">
        <v>1163</v>
      </c>
      <c r="Y208" s="57" t="s">
        <v>1163</v>
      </c>
    </row>
    <row r="209" spans="1:25" x14ac:dyDescent="0.3">
      <c r="A209" s="11" t="s">
        <v>1286</v>
      </c>
      <c r="B209" s="42">
        <v>1356</v>
      </c>
      <c r="C209" s="13" t="s">
        <v>821</v>
      </c>
      <c r="D209" s="13" t="s">
        <v>533</v>
      </c>
      <c r="E209" s="43" t="s">
        <v>829</v>
      </c>
      <c r="F209" s="44">
        <v>45959</v>
      </c>
      <c r="G209" s="43" t="s">
        <v>43</v>
      </c>
      <c r="H209" s="43" t="s">
        <v>836</v>
      </c>
      <c r="I209" s="43" t="s">
        <v>51</v>
      </c>
      <c r="J209" s="43" t="s">
        <v>854</v>
      </c>
      <c r="K209" s="9" t="s">
        <v>52</v>
      </c>
      <c r="L209" s="57" t="s">
        <v>2</v>
      </c>
      <c r="M209" s="57" t="s">
        <v>137</v>
      </c>
      <c r="N209" s="57" t="s">
        <v>2</v>
      </c>
      <c r="O209" s="57" t="s">
        <v>137</v>
      </c>
      <c r="P209" s="57" t="s">
        <v>2</v>
      </c>
      <c r="Q209" s="57" t="s">
        <v>137</v>
      </c>
      <c r="R209" s="57" t="s">
        <v>2</v>
      </c>
      <c r="S209" s="57" t="s">
        <v>137</v>
      </c>
      <c r="T209" s="57" t="s">
        <v>1163</v>
      </c>
      <c r="U209" s="57" t="s">
        <v>1163</v>
      </c>
      <c r="V209" s="57" t="s">
        <v>2</v>
      </c>
      <c r="W209" s="57" t="s">
        <v>138</v>
      </c>
      <c r="X209" s="57" t="s">
        <v>1163</v>
      </c>
      <c r="Y209" s="57" t="s">
        <v>1163</v>
      </c>
    </row>
    <row r="210" spans="1:25" x14ac:dyDescent="0.3">
      <c r="A210" s="11" t="s">
        <v>1286</v>
      </c>
      <c r="B210" s="42">
        <v>1053</v>
      </c>
      <c r="C210" s="23" t="s">
        <v>427</v>
      </c>
      <c r="D210" s="23" t="s">
        <v>428</v>
      </c>
      <c r="E210" s="9" t="s">
        <v>429</v>
      </c>
      <c r="F210" s="47">
        <v>45656</v>
      </c>
      <c r="G210" s="9" t="s">
        <v>43</v>
      </c>
      <c r="H210" s="9" t="s">
        <v>546</v>
      </c>
      <c r="I210" s="9" t="s">
        <v>5</v>
      </c>
      <c r="J210" s="43" t="s">
        <v>451</v>
      </c>
      <c r="K210" s="46" t="s">
        <v>50</v>
      </c>
      <c r="L210" s="57" t="s">
        <v>1</v>
      </c>
      <c r="M210" s="57" t="s">
        <v>138</v>
      </c>
      <c r="N210" s="57" t="s">
        <v>1</v>
      </c>
      <c r="O210" s="57" t="s">
        <v>138</v>
      </c>
      <c r="P210" s="57" t="s">
        <v>1</v>
      </c>
      <c r="Q210" s="57" t="s">
        <v>138</v>
      </c>
      <c r="R210" s="57" t="s">
        <v>1</v>
      </c>
      <c r="S210" s="57" t="s">
        <v>138</v>
      </c>
      <c r="T210" s="57" t="s">
        <v>1163</v>
      </c>
      <c r="U210" s="57" t="s">
        <v>1163</v>
      </c>
      <c r="V210" s="57" t="s">
        <v>1163</v>
      </c>
      <c r="W210" s="57" t="s">
        <v>1163</v>
      </c>
      <c r="X210" s="57" t="s">
        <v>1163</v>
      </c>
      <c r="Y210" s="57" t="s">
        <v>1163</v>
      </c>
    </row>
    <row r="211" spans="1:25" x14ac:dyDescent="0.3">
      <c r="A211" s="11" t="s">
        <v>1286</v>
      </c>
      <c r="B211" s="42">
        <v>1038</v>
      </c>
      <c r="C211" s="13" t="s">
        <v>421</v>
      </c>
      <c r="D211" s="13" t="s">
        <v>128</v>
      </c>
      <c r="E211" s="43" t="s">
        <v>422</v>
      </c>
      <c r="F211" s="44">
        <v>45656</v>
      </c>
      <c r="G211" s="43" t="s">
        <v>43</v>
      </c>
      <c r="H211" s="43" t="s">
        <v>423</v>
      </c>
      <c r="I211" s="43" t="s">
        <v>51</v>
      </c>
      <c r="J211" s="43" t="s">
        <v>90</v>
      </c>
      <c r="K211" s="46" t="s">
        <v>52</v>
      </c>
      <c r="L211" s="57" t="s">
        <v>2</v>
      </c>
      <c r="M211" s="57" t="s">
        <v>137</v>
      </c>
      <c r="N211" s="57" t="s">
        <v>2</v>
      </c>
      <c r="O211" s="57" t="s">
        <v>137</v>
      </c>
      <c r="P211" s="57" t="s">
        <v>2</v>
      </c>
      <c r="Q211" s="57" t="s">
        <v>137</v>
      </c>
      <c r="R211" s="57" t="s">
        <v>2</v>
      </c>
      <c r="S211" s="57" t="s">
        <v>137</v>
      </c>
      <c r="T211" s="57" t="s">
        <v>2</v>
      </c>
      <c r="U211" s="57" t="s">
        <v>138</v>
      </c>
      <c r="V211" s="57" t="s">
        <v>1163</v>
      </c>
      <c r="W211" s="57" t="s">
        <v>1163</v>
      </c>
      <c r="X211" s="57" t="s">
        <v>1163</v>
      </c>
      <c r="Y211" s="57" t="s">
        <v>1163</v>
      </c>
    </row>
    <row r="212" spans="1:25" x14ac:dyDescent="0.3">
      <c r="A212" s="11" t="s">
        <v>1286</v>
      </c>
      <c r="B212" s="42">
        <v>665</v>
      </c>
      <c r="C212" s="23" t="s">
        <v>118</v>
      </c>
      <c r="D212" s="23" t="s">
        <v>99</v>
      </c>
      <c r="E212" s="9" t="s">
        <v>119</v>
      </c>
      <c r="F212" s="47">
        <v>44641</v>
      </c>
      <c r="G212" s="9" t="s">
        <v>43</v>
      </c>
      <c r="H212" s="9" t="s">
        <v>120</v>
      </c>
      <c r="I212" s="9" t="s">
        <v>51</v>
      </c>
      <c r="J212" s="43" t="s">
        <v>365</v>
      </c>
      <c r="K212" s="46" t="s">
        <v>142</v>
      </c>
      <c r="L212" s="57" t="s">
        <v>2</v>
      </c>
      <c r="M212" s="57" t="s">
        <v>137</v>
      </c>
      <c r="N212" s="57" t="s">
        <v>2</v>
      </c>
      <c r="O212" s="57" t="s">
        <v>137</v>
      </c>
      <c r="P212" s="57" t="s">
        <v>2</v>
      </c>
      <c r="Q212" s="57" t="s">
        <v>137</v>
      </c>
      <c r="R212" s="57" t="s">
        <v>2</v>
      </c>
      <c r="S212" s="57" t="s">
        <v>137</v>
      </c>
      <c r="T212" s="57" t="s">
        <v>2</v>
      </c>
      <c r="U212" s="57" t="s">
        <v>138</v>
      </c>
      <c r="V212" s="57" t="s">
        <v>1163</v>
      </c>
      <c r="W212" s="57" t="s">
        <v>1163</v>
      </c>
      <c r="X212" s="57" t="s">
        <v>1163</v>
      </c>
      <c r="Y212" s="57" t="s">
        <v>1163</v>
      </c>
    </row>
    <row r="213" spans="1:25" x14ac:dyDescent="0.3">
      <c r="A213" s="11" t="s">
        <v>1286</v>
      </c>
      <c r="B213" s="42">
        <v>1348</v>
      </c>
      <c r="C213" s="13" t="s">
        <v>787</v>
      </c>
      <c r="D213" s="13" t="s">
        <v>788</v>
      </c>
      <c r="E213" s="43" t="s">
        <v>801</v>
      </c>
      <c r="F213" s="44">
        <v>45951</v>
      </c>
      <c r="G213" s="43" t="s">
        <v>43</v>
      </c>
      <c r="H213" s="43" t="s">
        <v>802</v>
      </c>
      <c r="I213" s="43" t="s">
        <v>51</v>
      </c>
      <c r="J213" s="43" t="s">
        <v>622</v>
      </c>
      <c r="K213" s="46" t="s">
        <v>142</v>
      </c>
      <c r="L213" s="57" t="s">
        <v>3</v>
      </c>
      <c r="M213" s="57" t="s">
        <v>139</v>
      </c>
      <c r="N213" s="57" t="s">
        <v>3</v>
      </c>
      <c r="O213" s="57" t="s">
        <v>139</v>
      </c>
      <c r="P213" s="57" t="s">
        <v>3</v>
      </c>
      <c r="Q213" s="57" t="s">
        <v>139</v>
      </c>
      <c r="R213" s="57" t="s">
        <v>3</v>
      </c>
      <c r="S213" s="57" t="s">
        <v>139</v>
      </c>
      <c r="T213" s="57" t="s">
        <v>1163</v>
      </c>
      <c r="U213" s="57" t="s">
        <v>1163</v>
      </c>
      <c r="V213" s="57" t="s">
        <v>2</v>
      </c>
      <c r="W213" s="57" t="s">
        <v>138</v>
      </c>
      <c r="X213" s="57" t="s">
        <v>1163</v>
      </c>
      <c r="Y213" s="57" t="s">
        <v>1163</v>
      </c>
    </row>
    <row r="214" spans="1:25" x14ac:dyDescent="0.3">
      <c r="A214" s="11" t="s">
        <v>1286</v>
      </c>
      <c r="B214" s="42">
        <v>999</v>
      </c>
      <c r="C214" s="23" t="s">
        <v>220</v>
      </c>
      <c r="D214" s="23" t="s">
        <v>393</v>
      </c>
      <c r="E214" s="9" t="s">
        <v>394</v>
      </c>
      <c r="F214" s="47">
        <v>45565</v>
      </c>
      <c r="G214" s="9" t="s">
        <v>43</v>
      </c>
      <c r="H214" s="9" t="s">
        <v>395</v>
      </c>
      <c r="I214" s="9" t="s">
        <v>51</v>
      </c>
      <c r="J214" s="43" t="s">
        <v>402</v>
      </c>
      <c r="K214" s="46" t="s">
        <v>52</v>
      </c>
      <c r="L214" s="57" t="s">
        <v>3</v>
      </c>
      <c r="M214" s="57" t="s">
        <v>139</v>
      </c>
      <c r="N214" s="57" t="s">
        <v>3</v>
      </c>
      <c r="O214" s="57" t="s">
        <v>139</v>
      </c>
      <c r="P214" s="57" t="s">
        <v>3</v>
      </c>
      <c r="Q214" s="57" t="s">
        <v>139</v>
      </c>
      <c r="R214" s="57" t="s">
        <v>3</v>
      </c>
      <c r="S214" s="57" t="s">
        <v>139</v>
      </c>
      <c r="T214" s="57" t="s">
        <v>4</v>
      </c>
      <c r="U214" s="57" t="s">
        <v>139</v>
      </c>
      <c r="V214" s="57" t="s">
        <v>1163</v>
      </c>
      <c r="W214" s="57" t="s">
        <v>1163</v>
      </c>
      <c r="X214" s="57" t="s">
        <v>1163</v>
      </c>
      <c r="Y214" s="57" t="s">
        <v>1163</v>
      </c>
    </row>
    <row r="215" spans="1:25" x14ac:dyDescent="0.3">
      <c r="A215" s="11" t="s">
        <v>1286</v>
      </c>
      <c r="B215" s="42">
        <v>1110</v>
      </c>
      <c r="C215" s="13" t="s">
        <v>511</v>
      </c>
      <c r="D215" s="13" t="s">
        <v>512</v>
      </c>
      <c r="E215" s="43" t="s">
        <v>513</v>
      </c>
      <c r="F215" s="44">
        <v>45721</v>
      </c>
      <c r="G215" s="43" t="s">
        <v>43</v>
      </c>
      <c r="H215" s="43" t="s">
        <v>514</v>
      </c>
      <c r="I215" s="43" t="s">
        <v>6</v>
      </c>
      <c r="J215" s="43" t="s">
        <v>515</v>
      </c>
      <c r="K215" s="46" t="s">
        <v>96</v>
      </c>
      <c r="L215" s="57" t="s">
        <v>1</v>
      </c>
      <c r="M215" s="57" t="s">
        <v>138</v>
      </c>
      <c r="N215" s="57" t="s">
        <v>1</v>
      </c>
      <c r="O215" s="57" t="s">
        <v>138</v>
      </c>
      <c r="P215" s="57" t="s">
        <v>1</v>
      </c>
      <c r="Q215" s="57" t="s">
        <v>138</v>
      </c>
      <c r="R215" s="57" t="s">
        <v>1163</v>
      </c>
      <c r="S215" s="57" t="s">
        <v>1163</v>
      </c>
      <c r="T215" s="57" t="s">
        <v>1</v>
      </c>
      <c r="U215" s="57" t="s">
        <v>138</v>
      </c>
      <c r="V215" s="57" t="s">
        <v>1</v>
      </c>
      <c r="W215" s="57" t="s">
        <v>164</v>
      </c>
      <c r="X215" s="57" t="s">
        <v>1163</v>
      </c>
      <c r="Y215" s="57" t="s">
        <v>1163</v>
      </c>
    </row>
    <row r="216" spans="1:25" x14ac:dyDescent="0.3">
      <c r="A216" s="11" t="s">
        <v>1286</v>
      </c>
      <c r="B216" s="42">
        <v>26</v>
      </c>
      <c r="C216" s="23" t="s">
        <v>40</v>
      </c>
      <c r="D216" s="23" t="s">
        <v>41</v>
      </c>
      <c r="E216" s="9" t="s">
        <v>42</v>
      </c>
      <c r="F216" s="47">
        <v>43612</v>
      </c>
      <c r="G216" s="9" t="s">
        <v>43</v>
      </c>
      <c r="H216" s="9" t="s">
        <v>44</v>
      </c>
      <c r="I216" s="9" t="s">
        <v>5</v>
      </c>
      <c r="J216" s="43" t="s">
        <v>899</v>
      </c>
      <c r="K216" s="46" t="s">
        <v>39</v>
      </c>
      <c r="L216" s="57" t="s">
        <v>2</v>
      </c>
      <c r="M216" s="57" t="s">
        <v>137</v>
      </c>
      <c r="N216" s="57" t="s">
        <v>2</v>
      </c>
      <c r="O216" s="57" t="s">
        <v>137</v>
      </c>
      <c r="P216" s="57" t="s">
        <v>2</v>
      </c>
      <c r="Q216" s="57" t="s">
        <v>137</v>
      </c>
      <c r="R216" s="57" t="s">
        <v>2</v>
      </c>
      <c r="S216" s="57" t="s">
        <v>137</v>
      </c>
      <c r="T216" s="57" t="s">
        <v>2</v>
      </c>
      <c r="U216" s="57" t="s">
        <v>138</v>
      </c>
      <c r="V216" s="57" t="s">
        <v>1163</v>
      </c>
      <c r="W216" s="57" t="s">
        <v>1163</v>
      </c>
      <c r="X216" s="57" t="s">
        <v>1163</v>
      </c>
      <c r="Y216" s="57" t="s">
        <v>1163</v>
      </c>
    </row>
    <row r="217" spans="1:25" x14ac:dyDescent="0.3">
      <c r="A217" s="11" t="s">
        <v>1286</v>
      </c>
      <c r="B217" s="42">
        <v>1322</v>
      </c>
      <c r="C217" s="13" t="s">
        <v>746</v>
      </c>
      <c r="D217" s="13" t="s">
        <v>701</v>
      </c>
      <c r="E217" s="43" t="s">
        <v>747</v>
      </c>
      <c r="F217" s="44">
        <v>45908</v>
      </c>
      <c r="G217" s="43" t="s">
        <v>43</v>
      </c>
      <c r="H217" s="43" t="s">
        <v>748</v>
      </c>
      <c r="I217" s="43" t="s">
        <v>5</v>
      </c>
      <c r="J217" s="43" t="s">
        <v>49</v>
      </c>
      <c r="K217" s="46" t="s">
        <v>50</v>
      </c>
      <c r="L217" s="57" t="s">
        <v>1</v>
      </c>
      <c r="M217" s="57" t="s">
        <v>138</v>
      </c>
      <c r="N217" s="57" t="s">
        <v>1</v>
      </c>
      <c r="O217" s="57" t="s">
        <v>138</v>
      </c>
      <c r="P217" s="57" t="s">
        <v>1163</v>
      </c>
      <c r="Q217" s="57" t="s">
        <v>1163</v>
      </c>
      <c r="R217" s="57" t="s">
        <v>1</v>
      </c>
      <c r="S217" s="57" t="s">
        <v>138</v>
      </c>
      <c r="T217" s="57" t="s">
        <v>1</v>
      </c>
      <c r="U217" s="57" t="s">
        <v>138</v>
      </c>
      <c r="V217" s="57" t="s">
        <v>1</v>
      </c>
      <c r="W217" s="57" t="s">
        <v>164</v>
      </c>
      <c r="X217" s="57" t="s">
        <v>1163</v>
      </c>
      <c r="Y217" s="57" t="s">
        <v>1163</v>
      </c>
    </row>
    <row r="218" spans="1:25" x14ac:dyDescent="0.3">
      <c r="A218" s="11" t="s">
        <v>1286</v>
      </c>
      <c r="B218" s="42">
        <v>1279</v>
      </c>
      <c r="C218" s="23" t="s">
        <v>794</v>
      </c>
      <c r="D218" s="23" t="s">
        <v>795</v>
      </c>
      <c r="E218" s="9" t="s">
        <v>809</v>
      </c>
      <c r="F218" s="47">
        <v>45951</v>
      </c>
      <c r="G218" s="9" t="s">
        <v>43</v>
      </c>
      <c r="H218" s="9" t="s">
        <v>810</v>
      </c>
      <c r="I218" s="9" t="s">
        <v>51</v>
      </c>
      <c r="J218" s="43" t="s">
        <v>539</v>
      </c>
      <c r="K218" s="46" t="s">
        <v>142</v>
      </c>
      <c r="L218" s="57" t="s">
        <v>3</v>
      </c>
      <c r="M218" s="57" t="s">
        <v>139</v>
      </c>
      <c r="N218" s="57" t="s">
        <v>3</v>
      </c>
      <c r="O218" s="57" t="s">
        <v>139</v>
      </c>
      <c r="P218" s="57" t="s">
        <v>3</v>
      </c>
      <c r="Q218" s="57" t="s">
        <v>139</v>
      </c>
      <c r="R218" s="57" t="s">
        <v>3</v>
      </c>
      <c r="S218" s="57" t="s">
        <v>139</v>
      </c>
      <c r="T218" s="57" t="s">
        <v>4</v>
      </c>
      <c r="U218" s="57" t="s">
        <v>139</v>
      </c>
      <c r="V218" s="57" t="s">
        <v>1163</v>
      </c>
      <c r="W218" s="57" t="s">
        <v>1163</v>
      </c>
      <c r="X218" s="57" t="s">
        <v>1163</v>
      </c>
      <c r="Y218" s="57" t="s">
        <v>1163</v>
      </c>
    </row>
    <row r="219" spans="1:25" x14ac:dyDescent="0.3">
      <c r="A219" s="11" t="s">
        <v>1286</v>
      </c>
      <c r="B219" s="42">
        <v>142</v>
      </c>
      <c r="C219" s="13" t="s">
        <v>69</v>
      </c>
      <c r="D219" s="13" t="s">
        <v>65</v>
      </c>
      <c r="E219" s="43" t="s">
        <v>70</v>
      </c>
      <c r="F219" s="44">
        <v>43760</v>
      </c>
      <c r="G219" s="43" t="s">
        <v>43</v>
      </c>
      <c r="H219" s="43" t="s">
        <v>71</v>
      </c>
      <c r="I219" s="43" t="s">
        <v>51</v>
      </c>
      <c r="J219" s="43" t="s">
        <v>72</v>
      </c>
      <c r="K219" s="46" t="s">
        <v>142</v>
      </c>
      <c r="L219" s="57" t="s">
        <v>2</v>
      </c>
      <c r="M219" s="57" t="s">
        <v>137</v>
      </c>
      <c r="N219" s="57" t="s">
        <v>2</v>
      </c>
      <c r="O219" s="57" t="s">
        <v>137</v>
      </c>
      <c r="P219" s="57" t="s">
        <v>1163</v>
      </c>
      <c r="Q219" s="57" t="s">
        <v>1163</v>
      </c>
      <c r="R219" s="57" t="s">
        <v>2</v>
      </c>
      <c r="S219" s="57" t="s">
        <v>137</v>
      </c>
      <c r="T219" s="57" t="s">
        <v>2</v>
      </c>
      <c r="U219" s="57" t="s">
        <v>137</v>
      </c>
      <c r="V219" s="57" t="s">
        <v>2</v>
      </c>
      <c r="W219" s="57" t="s">
        <v>138</v>
      </c>
      <c r="X219" s="57" t="s">
        <v>1163</v>
      </c>
      <c r="Y219" s="57" t="s">
        <v>1163</v>
      </c>
    </row>
    <row r="220" spans="1:25" x14ac:dyDescent="0.3">
      <c r="A220" s="11" t="s">
        <v>1286</v>
      </c>
      <c r="B220" s="42">
        <v>991</v>
      </c>
      <c r="C220" s="23" t="s">
        <v>389</v>
      </c>
      <c r="D220" s="23" t="s">
        <v>390</v>
      </c>
      <c r="E220" s="9" t="s">
        <v>391</v>
      </c>
      <c r="F220" s="47">
        <v>45565</v>
      </c>
      <c r="G220" s="9" t="s">
        <v>43</v>
      </c>
      <c r="H220" s="9" t="s">
        <v>392</v>
      </c>
      <c r="I220" s="9" t="s">
        <v>51</v>
      </c>
      <c r="J220" s="43" t="s">
        <v>402</v>
      </c>
      <c r="K220" s="46" t="s">
        <v>52</v>
      </c>
      <c r="L220" s="57" t="s">
        <v>3</v>
      </c>
      <c r="M220" s="57" t="s">
        <v>139</v>
      </c>
      <c r="N220" s="57" t="s">
        <v>3</v>
      </c>
      <c r="O220" s="57" t="s">
        <v>139</v>
      </c>
      <c r="P220" s="57" t="s">
        <v>3</v>
      </c>
      <c r="Q220" s="57" t="s">
        <v>139</v>
      </c>
      <c r="R220" s="57" t="s">
        <v>3</v>
      </c>
      <c r="S220" s="57" t="s">
        <v>139</v>
      </c>
      <c r="T220" s="57" t="s">
        <v>4</v>
      </c>
      <c r="U220" s="57" t="s">
        <v>139</v>
      </c>
      <c r="V220" s="57" t="s">
        <v>1163</v>
      </c>
      <c r="W220" s="57" t="s">
        <v>1163</v>
      </c>
      <c r="X220" s="57" t="s">
        <v>1163</v>
      </c>
      <c r="Y220" s="57" t="s">
        <v>1163</v>
      </c>
    </row>
    <row r="221" spans="1:25" x14ac:dyDescent="0.3">
      <c r="A221" s="11" t="s">
        <v>1286</v>
      </c>
      <c r="B221" s="42">
        <v>1073</v>
      </c>
      <c r="C221" s="13" t="s">
        <v>552</v>
      </c>
      <c r="D221" s="13" t="s">
        <v>432</v>
      </c>
      <c r="E221" s="43" t="s">
        <v>553</v>
      </c>
      <c r="F221" s="44"/>
      <c r="G221" s="43" t="s">
        <v>43</v>
      </c>
      <c r="H221" s="43" t="s">
        <v>554</v>
      </c>
      <c r="I221" s="43" t="s">
        <v>51</v>
      </c>
      <c r="J221" s="43" t="s">
        <v>318</v>
      </c>
      <c r="K221" s="46" t="s">
        <v>142</v>
      </c>
      <c r="L221" s="57" t="s">
        <v>2</v>
      </c>
      <c r="M221" s="57" t="s">
        <v>137</v>
      </c>
      <c r="N221" s="57" t="s">
        <v>2</v>
      </c>
      <c r="O221" s="57" t="s">
        <v>137</v>
      </c>
      <c r="P221" s="57" t="s">
        <v>1163</v>
      </c>
      <c r="Q221" s="57" t="s">
        <v>1163</v>
      </c>
      <c r="R221" s="57" t="s">
        <v>2</v>
      </c>
      <c r="S221" s="57" t="s">
        <v>137</v>
      </c>
      <c r="T221" s="57" t="s">
        <v>2</v>
      </c>
      <c r="U221" s="57" t="s">
        <v>137</v>
      </c>
      <c r="V221" s="57" t="s">
        <v>1</v>
      </c>
      <c r="W221" s="57" t="s">
        <v>164</v>
      </c>
      <c r="X221" s="57" t="s">
        <v>1163</v>
      </c>
      <c r="Y221" s="57" t="s">
        <v>1163</v>
      </c>
    </row>
    <row r="222" spans="1:25" x14ac:dyDescent="0.3">
      <c r="A222" s="11" t="s">
        <v>1286</v>
      </c>
      <c r="B222" s="42">
        <v>222</v>
      </c>
      <c r="C222" s="23" t="s">
        <v>87</v>
      </c>
      <c r="D222" s="23" t="s">
        <v>75</v>
      </c>
      <c r="E222" s="9" t="s">
        <v>88</v>
      </c>
      <c r="F222" s="47">
        <v>43864</v>
      </c>
      <c r="G222" s="9" t="s">
        <v>43</v>
      </c>
      <c r="H222" s="9" t="s">
        <v>89</v>
      </c>
      <c r="I222" s="9" t="s">
        <v>51</v>
      </c>
      <c r="J222" s="43" t="s">
        <v>363</v>
      </c>
      <c r="K222" s="46" t="s">
        <v>142</v>
      </c>
      <c r="L222" s="57" t="s">
        <v>1163</v>
      </c>
      <c r="M222" s="57" t="s">
        <v>1163</v>
      </c>
      <c r="N222" s="57" t="s">
        <v>1163</v>
      </c>
      <c r="O222" s="57" t="s">
        <v>1163</v>
      </c>
      <c r="P222" s="57" t="s">
        <v>2</v>
      </c>
      <c r="Q222" s="57" t="s">
        <v>137</v>
      </c>
      <c r="R222" s="57" t="s">
        <v>2</v>
      </c>
      <c r="S222" s="57" t="s">
        <v>137</v>
      </c>
      <c r="T222" s="57" t="s">
        <v>2</v>
      </c>
      <c r="U222" s="57" t="s">
        <v>137</v>
      </c>
      <c r="V222" s="57" t="s">
        <v>1</v>
      </c>
      <c r="W222" s="57" t="s">
        <v>138</v>
      </c>
      <c r="X222" s="57" t="s">
        <v>1163</v>
      </c>
      <c r="Y222" s="57" t="s">
        <v>1163</v>
      </c>
    </row>
    <row r="223" spans="1:25" x14ac:dyDescent="0.3">
      <c r="A223" s="11" t="s">
        <v>1286</v>
      </c>
      <c r="B223" s="42">
        <v>27</v>
      </c>
      <c r="C223" s="13" t="s">
        <v>45</v>
      </c>
      <c r="D223" s="13" t="s">
        <v>46</v>
      </c>
      <c r="E223" s="43" t="s">
        <v>47</v>
      </c>
      <c r="F223" s="44">
        <v>43612</v>
      </c>
      <c r="G223" s="43" t="s">
        <v>43</v>
      </c>
      <c r="H223" s="43" t="s">
        <v>48</v>
      </c>
      <c r="I223" s="43" t="s">
        <v>5</v>
      </c>
      <c r="J223" s="43" t="s">
        <v>633</v>
      </c>
      <c r="K223" s="46" t="s">
        <v>50</v>
      </c>
      <c r="L223" s="57" t="s">
        <v>2</v>
      </c>
      <c r="M223" s="57" t="s">
        <v>137</v>
      </c>
      <c r="N223" s="57" t="s">
        <v>2</v>
      </c>
      <c r="O223" s="57" t="s">
        <v>137</v>
      </c>
      <c r="P223" s="57" t="s">
        <v>2</v>
      </c>
      <c r="Q223" s="57" t="s">
        <v>137</v>
      </c>
      <c r="R223" s="57" t="s">
        <v>2</v>
      </c>
      <c r="S223" s="57" t="s">
        <v>137</v>
      </c>
      <c r="T223" s="57" t="s">
        <v>2</v>
      </c>
      <c r="U223" s="57" t="s">
        <v>138</v>
      </c>
      <c r="V223" s="57" t="s">
        <v>1163</v>
      </c>
      <c r="W223" s="57" t="s">
        <v>1163</v>
      </c>
      <c r="X223" s="57" t="s">
        <v>1163</v>
      </c>
      <c r="Y223" s="57" t="s">
        <v>1163</v>
      </c>
    </row>
    <row r="224" spans="1:25" x14ac:dyDescent="0.3">
      <c r="A224" s="11" t="s">
        <v>1286</v>
      </c>
      <c r="B224" s="42">
        <v>740</v>
      </c>
      <c r="C224" s="23" t="s">
        <v>133</v>
      </c>
      <c r="D224" s="23" t="s">
        <v>74</v>
      </c>
      <c r="E224" s="9" t="s">
        <v>134</v>
      </c>
      <c r="F224" s="47">
        <v>44746</v>
      </c>
      <c r="G224" s="9" t="s">
        <v>43</v>
      </c>
      <c r="H224" s="9" t="s">
        <v>135</v>
      </c>
      <c r="I224" s="48" t="s">
        <v>7</v>
      </c>
      <c r="J224" s="43" t="s">
        <v>136</v>
      </c>
      <c r="K224" s="46" t="s">
        <v>63</v>
      </c>
      <c r="L224" s="57" t="s">
        <v>2</v>
      </c>
      <c r="M224" s="57" t="s">
        <v>137</v>
      </c>
      <c r="N224" s="57" t="s">
        <v>2</v>
      </c>
      <c r="O224" s="57" t="s">
        <v>137</v>
      </c>
      <c r="P224" s="57" t="s">
        <v>2</v>
      </c>
      <c r="Q224" s="57" t="s">
        <v>137</v>
      </c>
      <c r="R224" s="57" t="s">
        <v>2</v>
      </c>
      <c r="S224" s="57" t="s">
        <v>137</v>
      </c>
      <c r="T224" s="57" t="s">
        <v>2</v>
      </c>
      <c r="U224" s="57" t="s">
        <v>138</v>
      </c>
      <c r="V224" s="57" t="s">
        <v>1163</v>
      </c>
      <c r="W224" s="57" t="s">
        <v>1163</v>
      </c>
      <c r="X224" s="57" t="s">
        <v>1163</v>
      </c>
      <c r="Y224" s="57" t="s">
        <v>1163</v>
      </c>
    </row>
    <row r="225" spans="1:25" x14ac:dyDescent="0.3">
      <c r="A225" s="11" t="s">
        <v>1286</v>
      </c>
      <c r="B225" s="42">
        <v>462</v>
      </c>
      <c r="C225" s="13" t="s">
        <v>108</v>
      </c>
      <c r="D225" s="13" t="s">
        <v>109</v>
      </c>
      <c r="E225" s="43" t="s">
        <v>110</v>
      </c>
      <c r="F225" s="44">
        <v>44377</v>
      </c>
      <c r="G225" s="43" t="s">
        <v>43</v>
      </c>
      <c r="H225" s="9" t="s">
        <v>1179</v>
      </c>
      <c r="I225" s="43" t="s">
        <v>51</v>
      </c>
      <c r="J225" s="43" t="s">
        <v>320</v>
      </c>
      <c r="K225" s="46" t="s">
        <v>52</v>
      </c>
      <c r="L225" s="57" t="s">
        <v>2</v>
      </c>
      <c r="M225" s="57" t="s">
        <v>137</v>
      </c>
      <c r="N225" s="57" t="s">
        <v>2</v>
      </c>
      <c r="O225" s="57" t="s">
        <v>137</v>
      </c>
      <c r="P225" s="57" t="s">
        <v>2</v>
      </c>
      <c r="Q225" s="57" t="s">
        <v>137</v>
      </c>
      <c r="R225" s="57" t="s">
        <v>2</v>
      </c>
      <c r="S225" s="57" t="s">
        <v>137</v>
      </c>
      <c r="T225" s="57" t="s">
        <v>3</v>
      </c>
      <c r="U225" s="57" t="s">
        <v>137</v>
      </c>
      <c r="V225" s="57" t="s">
        <v>1163</v>
      </c>
      <c r="W225" s="57" t="s">
        <v>1163</v>
      </c>
      <c r="X225" s="57" t="s">
        <v>1163</v>
      </c>
      <c r="Y225" s="57" t="s">
        <v>1163</v>
      </c>
    </row>
    <row r="226" spans="1:25" x14ac:dyDescent="0.3">
      <c r="A226" s="11" t="s">
        <v>1286</v>
      </c>
      <c r="B226" s="42">
        <v>1115</v>
      </c>
      <c r="C226" s="23" t="s">
        <v>525</v>
      </c>
      <c r="D226" s="23" t="s">
        <v>73</v>
      </c>
      <c r="E226" s="9" t="s">
        <v>516</v>
      </c>
      <c r="F226" s="47">
        <v>45721</v>
      </c>
      <c r="G226" s="9" t="s">
        <v>43</v>
      </c>
      <c r="H226" s="9" t="s">
        <v>694</v>
      </c>
      <c r="I226" s="9" t="s">
        <v>51</v>
      </c>
      <c r="J226" s="43" t="s">
        <v>411</v>
      </c>
      <c r="K226" s="46" t="s">
        <v>52</v>
      </c>
      <c r="L226" s="57" t="s">
        <v>3</v>
      </c>
      <c r="M226" s="57" t="s">
        <v>139</v>
      </c>
      <c r="N226" s="57" t="s">
        <v>3</v>
      </c>
      <c r="O226" s="57" t="s">
        <v>139</v>
      </c>
      <c r="P226" s="57" t="s">
        <v>3</v>
      </c>
      <c r="Q226" s="57" t="s">
        <v>139</v>
      </c>
      <c r="R226" s="57" t="s">
        <v>1163</v>
      </c>
      <c r="S226" s="57" t="s">
        <v>1163</v>
      </c>
      <c r="T226" s="57" t="s">
        <v>3</v>
      </c>
      <c r="U226" s="57" t="s">
        <v>139</v>
      </c>
      <c r="V226" s="57" t="s">
        <v>2</v>
      </c>
      <c r="W226" s="57" t="s">
        <v>138</v>
      </c>
      <c r="X226" s="57" t="s">
        <v>1163</v>
      </c>
      <c r="Y226" s="57" t="s">
        <v>1163</v>
      </c>
    </row>
    <row r="227" spans="1:25" x14ac:dyDescent="0.3">
      <c r="A227" s="11" t="s">
        <v>1286</v>
      </c>
      <c r="B227" s="42">
        <v>1354</v>
      </c>
      <c r="C227" s="23" t="s">
        <v>825</v>
      </c>
      <c r="D227" s="23" t="s">
        <v>92</v>
      </c>
      <c r="E227" s="9" t="s">
        <v>832</v>
      </c>
      <c r="F227" s="47">
        <v>45959</v>
      </c>
      <c r="G227" s="9" t="s">
        <v>43</v>
      </c>
      <c r="H227" s="9" t="s">
        <v>839</v>
      </c>
      <c r="I227" s="48" t="s">
        <v>7</v>
      </c>
      <c r="J227" s="43" t="s">
        <v>903</v>
      </c>
      <c r="K227" s="46" t="s">
        <v>63</v>
      </c>
      <c r="L227" s="57" t="s">
        <v>2</v>
      </c>
      <c r="M227" s="57" t="s">
        <v>137</v>
      </c>
      <c r="N227" s="57" t="s">
        <v>2</v>
      </c>
      <c r="O227" s="57" t="s">
        <v>137</v>
      </c>
      <c r="P227" s="57" t="s">
        <v>2</v>
      </c>
      <c r="Q227" s="57" t="s">
        <v>137</v>
      </c>
      <c r="R227" s="57" t="s">
        <v>1163</v>
      </c>
      <c r="S227" s="57" t="s">
        <v>1163</v>
      </c>
      <c r="T227" s="57" t="s">
        <v>2</v>
      </c>
      <c r="U227" s="57" t="s">
        <v>137</v>
      </c>
      <c r="V227" s="57" t="s">
        <v>2</v>
      </c>
      <c r="W227" s="57" t="s">
        <v>138</v>
      </c>
      <c r="X227" s="57" t="s">
        <v>1163</v>
      </c>
      <c r="Y227" s="57" t="s">
        <v>1163</v>
      </c>
    </row>
    <row r="228" spans="1:25" x14ac:dyDescent="0.3">
      <c r="A228" s="11" t="s">
        <v>1286</v>
      </c>
      <c r="B228" s="42">
        <v>1345</v>
      </c>
      <c r="C228" s="13" t="s">
        <v>785</v>
      </c>
      <c r="D228" s="13" t="s">
        <v>786</v>
      </c>
      <c r="E228" s="43" t="s">
        <v>799</v>
      </c>
      <c r="F228" s="44">
        <v>45951</v>
      </c>
      <c r="G228" s="43" t="s">
        <v>43</v>
      </c>
      <c r="H228" s="43" t="s">
        <v>800</v>
      </c>
      <c r="I228" s="43" t="s">
        <v>5</v>
      </c>
      <c r="J228" s="43" t="s">
        <v>76</v>
      </c>
      <c r="K228" s="46" t="s">
        <v>50</v>
      </c>
      <c r="L228" s="57" t="s">
        <v>1</v>
      </c>
      <c r="M228" s="57" t="s">
        <v>138</v>
      </c>
      <c r="N228" s="57" t="s">
        <v>1163</v>
      </c>
      <c r="O228" s="57" t="s">
        <v>1163</v>
      </c>
      <c r="P228" s="57" t="s">
        <v>1</v>
      </c>
      <c r="Q228" s="57" t="s">
        <v>138</v>
      </c>
      <c r="R228" s="57" t="s">
        <v>1</v>
      </c>
      <c r="S228" s="57" t="s">
        <v>138</v>
      </c>
      <c r="T228" s="57" t="s">
        <v>1</v>
      </c>
      <c r="U228" s="57" t="s">
        <v>138</v>
      </c>
      <c r="V228" s="57" t="s">
        <v>1</v>
      </c>
      <c r="W228" s="57" t="s">
        <v>164</v>
      </c>
      <c r="X228" s="57" t="s">
        <v>1163</v>
      </c>
      <c r="Y228" s="57" t="s">
        <v>1163</v>
      </c>
    </row>
    <row r="229" spans="1:25" x14ac:dyDescent="0.3">
      <c r="A229" s="11" t="s">
        <v>1286</v>
      </c>
      <c r="B229" s="42">
        <v>1352</v>
      </c>
      <c r="C229" s="23" t="s">
        <v>115</v>
      </c>
      <c r="D229" s="23" t="s">
        <v>791</v>
      </c>
      <c r="E229" s="9" t="s">
        <v>805</v>
      </c>
      <c r="F229" s="47">
        <v>45951</v>
      </c>
      <c r="G229" s="9" t="s">
        <v>43</v>
      </c>
      <c r="H229" s="9" t="s">
        <v>806</v>
      </c>
      <c r="I229" s="48" t="s">
        <v>7</v>
      </c>
      <c r="J229" s="43" t="s">
        <v>987</v>
      </c>
      <c r="K229" s="46" t="s">
        <v>63</v>
      </c>
      <c r="L229" s="57" t="s">
        <v>2</v>
      </c>
      <c r="M229" s="57" t="s">
        <v>137</v>
      </c>
      <c r="N229" s="57" t="s">
        <v>2</v>
      </c>
      <c r="O229" s="57" t="s">
        <v>137</v>
      </c>
      <c r="P229" s="57" t="s">
        <v>2</v>
      </c>
      <c r="Q229" s="57" t="s">
        <v>137</v>
      </c>
      <c r="R229" s="57" t="s">
        <v>2</v>
      </c>
      <c r="S229" s="57" t="s">
        <v>137</v>
      </c>
      <c r="T229" s="57" t="s">
        <v>2</v>
      </c>
      <c r="U229" s="57" t="s">
        <v>138</v>
      </c>
      <c r="V229" s="57" t="s">
        <v>1163</v>
      </c>
      <c r="W229" s="57" t="s">
        <v>1163</v>
      </c>
      <c r="X229" s="57" t="s">
        <v>1163</v>
      </c>
      <c r="Y229" s="57" t="s">
        <v>1163</v>
      </c>
    </row>
    <row r="230" spans="1:25" x14ac:dyDescent="0.3">
      <c r="A230" s="11" t="s">
        <v>1286</v>
      </c>
      <c r="B230" s="42">
        <v>46</v>
      </c>
      <c r="C230" s="23" t="s">
        <v>53</v>
      </c>
      <c r="D230" s="23" t="s">
        <v>54</v>
      </c>
      <c r="E230" s="9" t="s">
        <v>55</v>
      </c>
      <c r="F230" s="47">
        <v>43627</v>
      </c>
      <c r="G230" s="9" t="s">
        <v>43</v>
      </c>
      <c r="H230" s="9" t="s">
        <v>56</v>
      </c>
      <c r="I230" s="9" t="s">
        <v>51</v>
      </c>
      <c r="J230" s="43" t="s">
        <v>90</v>
      </c>
      <c r="K230" s="46" t="s">
        <v>52</v>
      </c>
      <c r="L230" s="57" t="s">
        <v>1163</v>
      </c>
      <c r="M230" s="57" t="s">
        <v>1163</v>
      </c>
      <c r="N230" s="57" t="s">
        <v>1163</v>
      </c>
      <c r="O230" s="57" t="s">
        <v>1163</v>
      </c>
      <c r="P230" s="57" t="s">
        <v>1163</v>
      </c>
      <c r="Q230" s="57" t="s">
        <v>1163</v>
      </c>
      <c r="R230" s="57" t="s">
        <v>1163</v>
      </c>
      <c r="S230" s="57" t="s">
        <v>1163</v>
      </c>
      <c r="T230" s="57" t="s">
        <v>1163</v>
      </c>
      <c r="U230" s="57" t="s">
        <v>1163</v>
      </c>
      <c r="V230" s="57" t="s">
        <v>1163</v>
      </c>
      <c r="W230" s="57" t="s">
        <v>1163</v>
      </c>
      <c r="X230" s="57" t="s">
        <v>1163</v>
      </c>
      <c r="Y230" s="57" t="s">
        <v>1163</v>
      </c>
    </row>
    <row r="231" spans="1:25" x14ac:dyDescent="0.3">
      <c r="A231" s="11" t="s">
        <v>1286</v>
      </c>
      <c r="B231" s="42">
        <v>461</v>
      </c>
      <c r="C231" s="13" t="s">
        <v>104</v>
      </c>
      <c r="D231" s="13" t="s">
        <v>105</v>
      </c>
      <c r="E231" s="43" t="s">
        <v>106</v>
      </c>
      <c r="F231" s="44">
        <v>44377</v>
      </c>
      <c r="G231" s="43" t="s">
        <v>43</v>
      </c>
      <c r="H231" s="43" t="s">
        <v>107</v>
      </c>
      <c r="I231" s="43" t="s">
        <v>5</v>
      </c>
      <c r="J231" s="43" t="s">
        <v>1035</v>
      </c>
      <c r="K231" s="46" t="s">
        <v>50</v>
      </c>
      <c r="L231" s="57" t="s">
        <v>2</v>
      </c>
      <c r="M231" s="57" t="s">
        <v>137</v>
      </c>
      <c r="N231" s="57" t="s">
        <v>2</v>
      </c>
      <c r="O231" s="57" t="s">
        <v>137</v>
      </c>
      <c r="P231" s="57" t="s">
        <v>2</v>
      </c>
      <c r="Q231" s="57" t="s">
        <v>137</v>
      </c>
      <c r="R231" s="57" t="s">
        <v>2</v>
      </c>
      <c r="S231" s="57" t="s">
        <v>137</v>
      </c>
      <c r="T231" s="66" t="s">
        <v>3</v>
      </c>
      <c r="U231" s="66" t="s">
        <v>137</v>
      </c>
      <c r="V231" s="57" t="s">
        <v>1163</v>
      </c>
      <c r="W231" s="57" t="s">
        <v>1163</v>
      </c>
      <c r="X231" s="57" t="s">
        <v>1163</v>
      </c>
      <c r="Y231" s="57" t="s">
        <v>1163</v>
      </c>
    </row>
    <row r="232" spans="1:25" x14ac:dyDescent="0.3">
      <c r="A232" s="11" t="s">
        <v>1286</v>
      </c>
      <c r="B232" s="42">
        <v>1330</v>
      </c>
      <c r="C232" s="23" t="s">
        <v>763</v>
      </c>
      <c r="D232" s="23" t="s">
        <v>764</v>
      </c>
      <c r="E232" s="9" t="s">
        <v>782</v>
      </c>
      <c r="F232" s="47"/>
      <c r="G232" s="9" t="s">
        <v>43</v>
      </c>
      <c r="H232" s="9" t="s">
        <v>765</v>
      </c>
      <c r="I232" s="9" t="s">
        <v>51</v>
      </c>
      <c r="J232" s="43" t="s">
        <v>1038</v>
      </c>
      <c r="K232" s="49" t="s">
        <v>52</v>
      </c>
      <c r="L232" s="57" t="s">
        <v>3</v>
      </c>
      <c r="M232" s="57" t="s">
        <v>139</v>
      </c>
      <c r="N232" s="57" t="s">
        <v>3</v>
      </c>
      <c r="O232" s="57" t="s">
        <v>139</v>
      </c>
      <c r="P232" s="57" t="s">
        <v>3</v>
      </c>
      <c r="Q232" s="57" t="s">
        <v>139</v>
      </c>
      <c r="R232" s="57" t="s">
        <v>3</v>
      </c>
      <c r="S232" s="57" t="s">
        <v>139</v>
      </c>
      <c r="T232" s="57" t="s">
        <v>4</v>
      </c>
      <c r="U232" s="57" t="s">
        <v>139</v>
      </c>
      <c r="V232" s="57" t="s">
        <v>1163</v>
      </c>
      <c r="W232" s="57" t="s">
        <v>1163</v>
      </c>
      <c r="X232" s="57" t="s">
        <v>1163</v>
      </c>
      <c r="Y232" s="57" t="s">
        <v>1163</v>
      </c>
    </row>
    <row r="233" spans="1:25" x14ac:dyDescent="0.3">
      <c r="A233" s="11" t="s">
        <v>1286</v>
      </c>
      <c r="B233" s="42">
        <v>1107</v>
      </c>
      <c r="C233" s="13" t="s">
        <v>526</v>
      </c>
      <c r="D233" s="13" t="s">
        <v>176</v>
      </c>
      <c r="E233" s="43" t="s">
        <v>521</v>
      </c>
      <c r="F233" s="44">
        <v>45721</v>
      </c>
      <c r="G233" s="43" t="s">
        <v>43</v>
      </c>
      <c r="H233" s="43" t="s">
        <v>522</v>
      </c>
      <c r="I233" s="43" t="s">
        <v>6</v>
      </c>
      <c r="J233" s="43" t="s">
        <v>523</v>
      </c>
      <c r="K233" s="49" t="s">
        <v>62</v>
      </c>
      <c r="L233" s="57" t="s">
        <v>2</v>
      </c>
      <c r="M233" s="57" t="s">
        <v>137</v>
      </c>
      <c r="N233" s="57" t="s">
        <v>2</v>
      </c>
      <c r="O233" s="57" t="s">
        <v>137</v>
      </c>
      <c r="P233" s="57" t="s">
        <v>2</v>
      </c>
      <c r="Q233" s="57" t="s">
        <v>137</v>
      </c>
      <c r="R233" s="57" t="s">
        <v>2</v>
      </c>
      <c r="S233" s="57" t="s">
        <v>137</v>
      </c>
      <c r="T233" s="57" t="s">
        <v>2</v>
      </c>
      <c r="U233" s="57" t="s">
        <v>138</v>
      </c>
      <c r="V233" s="57" t="s">
        <v>1163</v>
      </c>
      <c r="W233" s="57" t="s">
        <v>1163</v>
      </c>
      <c r="X233" s="57" t="s">
        <v>1163</v>
      </c>
      <c r="Y233" s="57" t="s">
        <v>1163</v>
      </c>
    </row>
    <row r="234" spans="1:25" x14ac:dyDescent="0.3">
      <c r="A234" s="11" t="s">
        <v>1286</v>
      </c>
      <c r="B234" s="42">
        <v>1050</v>
      </c>
      <c r="C234" s="23" t="s">
        <v>424</v>
      </c>
      <c r="D234" s="23" t="s">
        <v>425</v>
      </c>
      <c r="E234" s="9" t="s">
        <v>434</v>
      </c>
      <c r="F234" s="47">
        <v>45656</v>
      </c>
      <c r="G234" s="9" t="s">
        <v>43</v>
      </c>
      <c r="H234" s="9" t="s">
        <v>426</v>
      </c>
      <c r="I234" s="48" t="s">
        <v>7</v>
      </c>
      <c r="J234" s="43" t="s">
        <v>470</v>
      </c>
      <c r="K234" s="49" t="s">
        <v>63</v>
      </c>
      <c r="L234" s="57" t="s">
        <v>2</v>
      </c>
      <c r="M234" s="57" t="s">
        <v>137</v>
      </c>
      <c r="N234" s="57" t="s">
        <v>2</v>
      </c>
      <c r="O234" s="57" t="s">
        <v>137</v>
      </c>
      <c r="P234" s="57" t="s">
        <v>2</v>
      </c>
      <c r="Q234" s="57" t="s">
        <v>137</v>
      </c>
      <c r="R234" s="57" t="s">
        <v>2</v>
      </c>
      <c r="S234" s="57" t="s">
        <v>137</v>
      </c>
      <c r="T234" s="57" t="s">
        <v>2</v>
      </c>
      <c r="U234" s="57" t="s">
        <v>138</v>
      </c>
      <c r="V234" s="57" t="s">
        <v>1163</v>
      </c>
      <c r="W234" s="57" t="s">
        <v>1163</v>
      </c>
      <c r="X234" s="57" t="s">
        <v>1163</v>
      </c>
      <c r="Y234" s="57" t="s">
        <v>1163</v>
      </c>
    </row>
    <row r="235" spans="1:25" x14ac:dyDescent="0.3">
      <c r="A235" s="11" t="s">
        <v>1286</v>
      </c>
      <c r="B235" s="42">
        <v>1040</v>
      </c>
      <c r="C235" s="13" t="s">
        <v>433</v>
      </c>
      <c r="D235" s="13" t="s">
        <v>417</v>
      </c>
      <c r="E235" s="43" t="s">
        <v>418</v>
      </c>
      <c r="F235" s="44">
        <v>45656</v>
      </c>
      <c r="G235" s="43" t="s">
        <v>43</v>
      </c>
      <c r="H235" s="43" t="s">
        <v>419</v>
      </c>
      <c r="I235" s="43" t="s">
        <v>51</v>
      </c>
      <c r="J235" s="43" t="s">
        <v>420</v>
      </c>
      <c r="K235" s="49" t="s">
        <v>52</v>
      </c>
      <c r="L235" s="57" t="s">
        <v>2</v>
      </c>
      <c r="M235" s="57" t="s">
        <v>137</v>
      </c>
      <c r="N235" s="57" t="s">
        <v>2</v>
      </c>
      <c r="O235" s="57" t="s">
        <v>137</v>
      </c>
      <c r="P235" s="57" t="s">
        <v>2</v>
      </c>
      <c r="Q235" s="57" t="s">
        <v>137</v>
      </c>
      <c r="R235" s="57" t="s">
        <v>2</v>
      </c>
      <c r="S235" s="57" t="s">
        <v>137</v>
      </c>
      <c r="T235" s="57" t="s">
        <v>2</v>
      </c>
      <c r="U235" s="57" t="s">
        <v>138</v>
      </c>
      <c r="V235" s="57" t="s">
        <v>1163</v>
      </c>
      <c r="W235" s="57" t="s">
        <v>1163</v>
      </c>
      <c r="X235" s="57" t="s">
        <v>1163</v>
      </c>
      <c r="Y235" s="57" t="s">
        <v>1163</v>
      </c>
    </row>
    <row r="236" spans="1:25" x14ac:dyDescent="0.3">
      <c r="A236" s="11" t="s">
        <v>1286</v>
      </c>
      <c r="B236" s="42">
        <v>923</v>
      </c>
      <c r="C236" s="13" t="s">
        <v>160</v>
      </c>
      <c r="D236" s="13" t="s">
        <v>105</v>
      </c>
      <c r="E236" s="43" t="s">
        <v>169</v>
      </c>
      <c r="F236" s="44">
        <v>45329</v>
      </c>
      <c r="G236" s="43" t="s">
        <v>43</v>
      </c>
      <c r="H236" s="43" t="s">
        <v>161</v>
      </c>
      <c r="I236" s="48" t="s">
        <v>7</v>
      </c>
      <c r="J236" s="43" t="s">
        <v>470</v>
      </c>
      <c r="K236" s="49" t="s">
        <v>63</v>
      </c>
      <c r="L236" s="57" t="s">
        <v>2</v>
      </c>
      <c r="M236" s="57" t="s">
        <v>137</v>
      </c>
      <c r="N236" s="57" t="s">
        <v>2</v>
      </c>
      <c r="O236" s="57" t="s">
        <v>137</v>
      </c>
      <c r="P236" s="57" t="s">
        <v>2</v>
      </c>
      <c r="Q236" s="57" t="s">
        <v>137</v>
      </c>
      <c r="R236" s="57" t="s">
        <v>1163</v>
      </c>
      <c r="S236" s="57" t="s">
        <v>1163</v>
      </c>
      <c r="T236" s="57" t="s">
        <v>2</v>
      </c>
      <c r="U236" s="57" t="s">
        <v>137</v>
      </c>
      <c r="V236" s="57" t="s">
        <v>2</v>
      </c>
      <c r="W236" s="57" t="s">
        <v>138</v>
      </c>
      <c r="X236" s="57" t="s">
        <v>1163</v>
      </c>
      <c r="Y236" s="57" t="s">
        <v>1163</v>
      </c>
    </row>
    <row r="237" spans="1:25" x14ac:dyDescent="0.3">
      <c r="A237" s="11" t="s">
        <v>1286</v>
      </c>
      <c r="B237" s="42">
        <v>1117</v>
      </c>
      <c r="C237" s="13" t="s">
        <v>504</v>
      </c>
      <c r="D237" s="13" t="s">
        <v>505</v>
      </c>
      <c r="E237" s="43" t="s">
        <v>506</v>
      </c>
      <c r="F237" s="44">
        <v>45721</v>
      </c>
      <c r="G237" s="43" t="s">
        <v>43</v>
      </c>
      <c r="H237" s="43" t="s">
        <v>507</v>
      </c>
      <c r="I237" s="48" t="s">
        <v>7</v>
      </c>
      <c r="J237" s="43" t="s">
        <v>470</v>
      </c>
      <c r="K237" s="49" t="s">
        <v>63</v>
      </c>
      <c r="L237" s="57" t="s">
        <v>2</v>
      </c>
      <c r="M237" s="57" t="s">
        <v>137</v>
      </c>
      <c r="N237" s="57" t="s">
        <v>2</v>
      </c>
      <c r="O237" s="57" t="s">
        <v>137</v>
      </c>
      <c r="P237" s="57" t="s">
        <v>1163</v>
      </c>
      <c r="Q237" s="57" t="s">
        <v>1163</v>
      </c>
      <c r="R237" s="57" t="s">
        <v>2</v>
      </c>
      <c r="S237" s="57" t="s">
        <v>137</v>
      </c>
      <c r="T237" s="57" t="s">
        <v>2</v>
      </c>
      <c r="U237" s="57" t="s">
        <v>137</v>
      </c>
      <c r="V237" s="57" t="s">
        <v>2</v>
      </c>
      <c r="W237" s="57" t="s">
        <v>138</v>
      </c>
      <c r="X237" s="57" t="s">
        <v>1163</v>
      </c>
      <c r="Y237" s="57" t="s">
        <v>1163</v>
      </c>
    </row>
    <row r="238" spans="1:25" x14ac:dyDescent="0.3">
      <c r="A238" s="11" t="s">
        <v>1286</v>
      </c>
      <c r="B238" s="42">
        <v>1113</v>
      </c>
      <c r="C238" s="13" t="s">
        <v>517</v>
      </c>
      <c r="D238" s="13" t="s">
        <v>518</v>
      </c>
      <c r="E238" s="43" t="s">
        <v>519</v>
      </c>
      <c r="F238" s="44">
        <v>45721</v>
      </c>
      <c r="G238" s="43" t="s">
        <v>43</v>
      </c>
      <c r="H238" s="43" t="s">
        <v>520</v>
      </c>
      <c r="I238" s="48" t="s">
        <v>7</v>
      </c>
      <c r="J238" s="43" t="s">
        <v>903</v>
      </c>
      <c r="K238" s="49" t="s">
        <v>63</v>
      </c>
      <c r="L238" s="57" t="s">
        <v>2</v>
      </c>
      <c r="M238" s="57" t="s">
        <v>137</v>
      </c>
      <c r="N238" s="57" t="s">
        <v>2</v>
      </c>
      <c r="O238" s="57" t="s">
        <v>137</v>
      </c>
      <c r="P238" s="57" t="s">
        <v>1163</v>
      </c>
      <c r="Q238" s="57" t="s">
        <v>1163</v>
      </c>
      <c r="R238" s="57" t="s">
        <v>2</v>
      </c>
      <c r="S238" s="57" t="s">
        <v>137</v>
      </c>
      <c r="T238" s="57" t="s">
        <v>2</v>
      </c>
      <c r="U238" s="57" t="s">
        <v>137</v>
      </c>
      <c r="V238" s="57" t="s">
        <v>2</v>
      </c>
      <c r="W238" s="57" t="s">
        <v>138</v>
      </c>
      <c r="X238" s="57" t="s">
        <v>1163</v>
      </c>
      <c r="Y238" s="57" t="s">
        <v>1163</v>
      </c>
    </row>
    <row r="239" spans="1:25" x14ac:dyDescent="0.3">
      <c r="A239" s="11" t="s">
        <v>1286</v>
      </c>
      <c r="B239" s="42">
        <v>1355</v>
      </c>
      <c r="C239" s="23" t="s">
        <v>823</v>
      </c>
      <c r="D239" s="23" t="s">
        <v>824</v>
      </c>
      <c r="E239" s="9" t="s">
        <v>831</v>
      </c>
      <c r="F239" s="47">
        <v>45959</v>
      </c>
      <c r="G239" s="9" t="s">
        <v>43</v>
      </c>
      <c r="H239" s="9" t="s">
        <v>838</v>
      </c>
      <c r="I239" s="9" t="s">
        <v>6</v>
      </c>
      <c r="J239" s="43" t="s">
        <v>291</v>
      </c>
      <c r="K239" s="49" t="s">
        <v>96</v>
      </c>
      <c r="L239" s="57" t="s">
        <v>1</v>
      </c>
      <c r="M239" s="57" t="s">
        <v>138</v>
      </c>
      <c r="N239" s="57" t="s">
        <v>1</v>
      </c>
      <c r="O239" s="57" t="s">
        <v>138</v>
      </c>
      <c r="P239" s="57" t="s">
        <v>1</v>
      </c>
      <c r="Q239" s="57" t="s">
        <v>138</v>
      </c>
      <c r="R239" s="57" t="s">
        <v>1</v>
      </c>
      <c r="S239" s="57" t="s">
        <v>138</v>
      </c>
      <c r="T239" s="57" t="s">
        <v>1</v>
      </c>
      <c r="U239" s="57" t="s">
        <v>164</v>
      </c>
      <c r="V239" s="57" t="s">
        <v>1163</v>
      </c>
      <c r="W239" s="57" t="s">
        <v>1163</v>
      </c>
      <c r="X239" s="57" t="s">
        <v>1163</v>
      </c>
      <c r="Y239" s="57" t="s">
        <v>1163</v>
      </c>
    </row>
    <row r="240" spans="1:25" x14ac:dyDescent="0.3">
      <c r="A240" s="11" t="s">
        <v>1286</v>
      </c>
      <c r="B240" s="42">
        <v>1285</v>
      </c>
      <c r="C240" s="13" t="s">
        <v>796</v>
      </c>
      <c r="D240" s="13" t="s">
        <v>795</v>
      </c>
      <c r="E240" s="43" t="s">
        <v>811</v>
      </c>
      <c r="F240" s="44">
        <v>45951</v>
      </c>
      <c r="G240" s="43" t="s">
        <v>43</v>
      </c>
      <c r="H240" s="43" t="s">
        <v>812</v>
      </c>
      <c r="I240" s="43" t="s">
        <v>5</v>
      </c>
      <c r="J240" s="43" t="s">
        <v>415</v>
      </c>
      <c r="K240" s="49" t="s">
        <v>50</v>
      </c>
      <c r="L240" s="57" t="s">
        <v>1</v>
      </c>
      <c r="M240" s="57" t="s">
        <v>138</v>
      </c>
      <c r="N240" s="57" t="s">
        <v>1</v>
      </c>
      <c r="O240" s="57" t="s">
        <v>138</v>
      </c>
      <c r="P240" s="57" t="s">
        <v>1</v>
      </c>
      <c r="Q240" s="57" t="s">
        <v>138</v>
      </c>
      <c r="R240" s="57" t="s">
        <v>1</v>
      </c>
      <c r="S240" s="57" t="s">
        <v>138</v>
      </c>
      <c r="T240" s="57" t="s">
        <v>1</v>
      </c>
      <c r="U240" s="57" t="s">
        <v>164</v>
      </c>
      <c r="V240" s="57" t="s">
        <v>1163</v>
      </c>
      <c r="W240" s="57" t="s">
        <v>1163</v>
      </c>
      <c r="X240" s="57" t="s">
        <v>1163</v>
      </c>
      <c r="Y240" s="57" t="s">
        <v>1163</v>
      </c>
    </row>
    <row r="241" spans="1:25" x14ac:dyDescent="0.3">
      <c r="A241" s="11" t="s">
        <v>1286</v>
      </c>
      <c r="B241" s="42">
        <v>1367</v>
      </c>
      <c r="C241" s="23" t="s">
        <v>319</v>
      </c>
      <c r="D241" s="23" t="s">
        <v>826</v>
      </c>
      <c r="E241" s="9" t="s">
        <v>833</v>
      </c>
      <c r="F241" s="47">
        <v>45959</v>
      </c>
      <c r="G241" s="9" t="s">
        <v>43</v>
      </c>
      <c r="H241" s="9" t="s">
        <v>840</v>
      </c>
      <c r="I241" s="9" t="s">
        <v>51</v>
      </c>
      <c r="J241" s="43" t="s">
        <v>622</v>
      </c>
      <c r="K241" s="49" t="s">
        <v>142</v>
      </c>
      <c r="L241" s="57" t="s">
        <v>3</v>
      </c>
      <c r="M241" s="57" t="s">
        <v>139</v>
      </c>
      <c r="N241" s="57" t="s">
        <v>3</v>
      </c>
      <c r="O241" s="57" t="s">
        <v>139</v>
      </c>
      <c r="P241" s="57" t="s">
        <v>3</v>
      </c>
      <c r="Q241" s="57" t="s">
        <v>139</v>
      </c>
      <c r="R241" s="57" t="s">
        <v>3</v>
      </c>
      <c r="S241" s="57" t="s">
        <v>139</v>
      </c>
      <c r="T241" s="57" t="s">
        <v>4</v>
      </c>
      <c r="U241" s="57" t="s">
        <v>139</v>
      </c>
      <c r="V241" s="57" t="s">
        <v>1163</v>
      </c>
      <c r="W241" s="57" t="s">
        <v>1163</v>
      </c>
      <c r="X241" s="57" t="s">
        <v>1163</v>
      </c>
      <c r="Y241" s="57" t="s">
        <v>1163</v>
      </c>
    </row>
    <row r="242" spans="1:25" x14ac:dyDescent="0.3">
      <c r="A242" s="11" t="s">
        <v>1286</v>
      </c>
      <c r="B242" s="42">
        <v>847</v>
      </c>
      <c r="C242" s="13" t="s">
        <v>143</v>
      </c>
      <c r="D242" s="13" t="s">
        <v>144</v>
      </c>
      <c r="E242" s="43" t="s">
        <v>145</v>
      </c>
      <c r="F242" s="44">
        <v>45222</v>
      </c>
      <c r="G242" s="43" t="s">
        <v>43</v>
      </c>
      <c r="H242" s="43" t="s">
        <v>146</v>
      </c>
      <c r="I242" s="43" t="s">
        <v>51</v>
      </c>
      <c r="J242" s="43" t="s">
        <v>880</v>
      </c>
      <c r="K242" s="49" t="s">
        <v>57</v>
      </c>
      <c r="L242" s="57" t="s">
        <v>2</v>
      </c>
      <c r="M242" s="57" t="s">
        <v>137</v>
      </c>
      <c r="N242" s="57" t="s">
        <v>2</v>
      </c>
      <c r="O242" s="57" t="s">
        <v>137</v>
      </c>
      <c r="P242" s="57" t="s">
        <v>2</v>
      </c>
      <c r="Q242" s="57" t="s">
        <v>137</v>
      </c>
      <c r="R242" s="57" t="s">
        <v>2</v>
      </c>
      <c r="S242" s="57" t="s">
        <v>137</v>
      </c>
      <c r="T242" s="57" t="s">
        <v>2</v>
      </c>
      <c r="U242" s="57" t="s">
        <v>138</v>
      </c>
      <c r="V242" s="57" t="s">
        <v>1163</v>
      </c>
      <c r="W242" s="57" t="s">
        <v>1163</v>
      </c>
      <c r="X242" s="57" t="s">
        <v>1163</v>
      </c>
      <c r="Y242" s="57" t="s">
        <v>1163</v>
      </c>
    </row>
    <row r="243" spans="1:25" x14ac:dyDescent="0.3">
      <c r="A243" s="11" t="s">
        <v>1286</v>
      </c>
      <c r="B243" s="42">
        <v>188</v>
      </c>
      <c r="C243" s="23" t="s">
        <v>77</v>
      </c>
      <c r="D243" s="23" t="s">
        <v>78</v>
      </c>
      <c r="E243" s="9" t="s">
        <v>79</v>
      </c>
      <c r="F243" s="47">
        <v>43829</v>
      </c>
      <c r="G243" s="9" t="s">
        <v>43</v>
      </c>
      <c r="H243" s="9" t="s">
        <v>80</v>
      </c>
      <c r="I243" s="9" t="s">
        <v>5</v>
      </c>
      <c r="J243" s="43" t="s">
        <v>76</v>
      </c>
      <c r="K243" s="49" t="s">
        <v>39</v>
      </c>
      <c r="L243" s="57" t="s">
        <v>2</v>
      </c>
      <c r="M243" s="57" t="s">
        <v>137</v>
      </c>
      <c r="N243" s="57" t="s">
        <v>1163</v>
      </c>
      <c r="O243" s="57" t="s">
        <v>1163</v>
      </c>
      <c r="P243" s="57" t="s">
        <v>2</v>
      </c>
      <c r="Q243" s="57" t="s">
        <v>137</v>
      </c>
      <c r="R243" s="57" t="s">
        <v>2</v>
      </c>
      <c r="S243" s="57" t="s">
        <v>137</v>
      </c>
      <c r="T243" s="57" t="s">
        <v>2</v>
      </c>
      <c r="U243" s="57" t="s">
        <v>137</v>
      </c>
      <c r="V243" s="66" t="s">
        <v>1</v>
      </c>
      <c r="W243" s="66" t="s">
        <v>164</v>
      </c>
      <c r="X243" s="57" t="s">
        <v>1163</v>
      </c>
      <c r="Y243" s="57" t="s">
        <v>1163</v>
      </c>
    </row>
    <row r="244" spans="1:25" x14ac:dyDescent="0.3">
      <c r="A244" s="11" t="s">
        <v>1286</v>
      </c>
      <c r="B244" s="42">
        <v>1323</v>
      </c>
      <c r="C244" s="13" t="s">
        <v>78</v>
      </c>
      <c r="D244" s="13" t="s">
        <v>58</v>
      </c>
      <c r="E244" s="43" t="s">
        <v>744</v>
      </c>
      <c r="F244" s="44">
        <v>45908</v>
      </c>
      <c r="G244" s="43" t="s">
        <v>43</v>
      </c>
      <c r="H244" s="43" t="s">
        <v>740</v>
      </c>
      <c r="I244" s="43" t="s">
        <v>6</v>
      </c>
      <c r="J244" s="43" t="s">
        <v>1146</v>
      </c>
      <c r="K244" s="49" t="s">
        <v>96</v>
      </c>
      <c r="L244" s="57" t="s">
        <v>1</v>
      </c>
      <c r="M244" s="57" t="s">
        <v>138</v>
      </c>
      <c r="N244" s="57" t="s">
        <v>1</v>
      </c>
      <c r="O244" s="57" t="s">
        <v>138</v>
      </c>
      <c r="P244" s="57" t="s">
        <v>1</v>
      </c>
      <c r="Q244" s="57" t="s">
        <v>138</v>
      </c>
      <c r="R244" s="57" t="s">
        <v>1</v>
      </c>
      <c r="S244" s="57" t="s">
        <v>138</v>
      </c>
      <c r="T244" s="57" t="s">
        <v>1</v>
      </c>
      <c r="U244" s="57" t="s">
        <v>164</v>
      </c>
      <c r="V244" s="57" t="s">
        <v>1163</v>
      </c>
      <c r="W244" s="57" t="s">
        <v>1163</v>
      </c>
      <c r="X244" s="57" t="s">
        <v>1163</v>
      </c>
      <c r="Y244" s="57" t="s">
        <v>1163</v>
      </c>
    </row>
    <row r="245" spans="1:25" x14ac:dyDescent="0.3">
      <c r="A245" s="11" t="s">
        <v>1286</v>
      </c>
      <c r="B245" s="42">
        <v>918</v>
      </c>
      <c r="C245" s="23" t="s">
        <v>162</v>
      </c>
      <c r="D245" s="23" t="s">
        <v>111</v>
      </c>
      <c r="E245" s="9" t="s">
        <v>170</v>
      </c>
      <c r="F245" s="47">
        <v>45329</v>
      </c>
      <c r="G245" s="9" t="s">
        <v>43</v>
      </c>
      <c r="H245" s="9" t="s">
        <v>163</v>
      </c>
      <c r="I245" s="9" t="s">
        <v>5</v>
      </c>
      <c r="J245" s="43" t="s">
        <v>879</v>
      </c>
      <c r="K245" s="49" t="s">
        <v>39</v>
      </c>
      <c r="L245" s="57" t="s">
        <v>1163</v>
      </c>
      <c r="M245" s="57" t="s">
        <v>1163</v>
      </c>
      <c r="N245" s="57" t="s">
        <v>1163</v>
      </c>
      <c r="O245" s="57" t="s">
        <v>1163</v>
      </c>
      <c r="P245" s="57" t="s">
        <v>2</v>
      </c>
      <c r="Q245" s="57" t="s">
        <v>137</v>
      </c>
      <c r="R245" s="57" t="s">
        <v>2</v>
      </c>
      <c r="S245" s="57" t="s">
        <v>137</v>
      </c>
      <c r="T245" s="57" t="s">
        <v>2</v>
      </c>
      <c r="U245" s="57" t="s">
        <v>137</v>
      </c>
      <c r="V245" s="66" t="s">
        <v>1</v>
      </c>
      <c r="W245" s="66" t="s">
        <v>164</v>
      </c>
      <c r="X245" s="57" t="s">
        <v>1163</v>
      </c>
      <c r="Y245" s="57" t="s">
        <v>1163</v>
      </c>
    </row>
    <row r="246" spans="1:25" x14ac:dyDescent="0.3">
      <c r="A246" s="11" t="s">
        <v>1286</v>
      </c>
      <c r="B246" s="42">
        <v>714</v>
      </c>
      <c r="C246" s="13" t="s">
        <v>124</v>
      </c>
      <c r="D246" s="13" t="s">
        <v>109</v>
      </c>
      <c r="E246" s="43" t="s">
        <v>125</v>
      </c>
      <c r="F246" s="44">
        <v>44718</v>
      </c>
      <c r="G246" s="43" t="s">
        <v>43</v>
      </c>
      <c r="H246" s="43" t="s">
        <v>126</v>
      </c>
      <c r="I246" s="43" t="s">
        <v>51</v>
      </c>
      <c r="J246" s="43" t="s">
        <v>90</v>
      </c>
      <c r="K246" s="49" t="s">
        <v>52</v>
      </c>
      <c r="L246" s="57" t="s">
        <v>3</v>
      </c>
      <c r="M246" s="57" t="s">
        <v>139</v>
      </c>
      <c r="N246" s="57" t="s">
        <v>3</v>
      </c>
      <c r="O246" s="57" t="s">
        <v>139</v>
      </c>
      <c r="P246" s="57" t="s">
        <v>3</v>
      </c>
      <c r="Q246" s="57" t="s">
        <v>139</v>
      </c>
      <c r="R246" s="57" t="s">
        <v>3</v>
      </c>
      <c r="S246" s="57" t="s">
        <v>139</v>
      </c>
      <c r="T246" s="57" t="s">
        <v>1163</v>
      </c>
      <c r="U246" s="57" t="s">
        <v>1163</v>
      </c>
      <c r="V246" s="57" t="s">
        <v>2</v>
      </c>
      <c r="W246" s="57" t="s">
        <v>138</v>
      </c>
      <c r="X246" s="57" t="s">
        <v>1163</v>
      </c>
      <c r="Y246" s="57" t="s">
        <v>1163</v>
      </c>
    </row>
    <row r="247" spans="1:25" x14ac:dyDescent="0.3">
      <c r="A247" s="11" t="s">
        <v>1286</v>
      </c>
      <c r="B247" s="42">
        <v>1353</v>
      </c>
      <c r="C247" s="23" t="s">
        <v>820</v>
      </c>
      <c r="D247" s="23" t="s">
        <v>65</v>
      </c>
      <c r="E247" s="9" t="s">
        <v>828</v>
      </c>
      <c r="F247" s="47">
        <v>45959</v>
      </c>
      <c r="G247" s="9" t="s">
        <v>43</v>
      </c>
      <c r="H247" s="9" t="s">
        <v>835</v>
      </c>
      <c r="I247" s="9" t="s">
        <v>51</v>
      </c>
      <c r="J247" s="43" t="s">
        <v>754</v>
      </c>
      <c r="K247" s="46" t="s">
        <v>57</v>
      </c>
      <c r="L247" s="57" t="s">
        <v>3</v>
      </c>
      <c r="M247" s="57" t="s">
        <v>139</v>
      </c>
      <c r="N247" s="57" t="s">
        <v>3</v>
      </c>
      <c r="O247" s="57" t="s">
        <v>139</v>
      </c>
      <c r="P247" s="57" t="s">
        <v>3</v>
      </c>
      <c r="Q247" s="57" t="s">
        <v>139</v>
      </c>
      <c r="R247" s="57" t="s">
        <v>3</v>
      </c>
      <c r="S247" s="57" t="s">
        <v>139</v>
      </c>
      <c r="T247" s="57" t="s">
        <v>4</v>
      </c>
      <c r="U247" s="57" t="s">
        <v>139</v>
      </c>
      <c r="V247" s="57" t="s">
        <v>1163</v>
      </c>
      <c r="W247" s="57" t="s">
        <v>1163</v>
      </c>
      <c r="X247" s="57" t="s">
        <v>1163</v>
      </c>
      <c r="Y247" s="57" t="s">
        <v>1163</v>
      </c>
    </row>
    <row r="248" spans="1:25" x14ac:dyDescent="0.3">
      <c r="A248" s="11" t="s">
        <v>1286</v>
      </c>
      <c r="B248" s="42">
        <v>1327</v>
      </c>
      <c r="C248" s="13" t="s">
        <v>759</v>
      </c>
      <c r="D248" s="13" t="s">
        <v>760</v>
      </c>
      <c r="E248" s="43" t="s">
        <v>781</v>
      </c>
      <c r="F248" s="44"/>
      <c r="G248" s="43" t="s">
        <v>43</v>
      </c>
      <c r="H248" s="43" t="s">
        <v>761</v>
      </c>
      <c r="I248" s="43" t="s">
        <v>5</v>
      </c>
      <c r="J248" s="43" t="s">
        <v>762</v>
      </c>
      <c r="K248" s="46" t="s">
        <v>39</v>
      </c>
      <c r="L248" s="57" t="s">
        <v>1</v>
      </c>
      <c r="M248" s="57" t="s">
        <v>138</v>
      </c>
      <c r="N248" s="57" t="s">
        <v>1</v>
      </c>
      <c r="O248" s="57" t="s">
        <v>138</v>
      </c>
      <c r="P248" s="57" t="s">
        <v>1163</v>
      </c>
      <c r="Q248" s="57" t="s">
        <v>1163</v>
      </c>
      <c r="R248" s="57" t="s">
        <v>1</v>
      </c>
      <c r="S248" s="57" t="s">
        <v>138</v>
      </c>
      <c r="T248" s="57" t="s">
        <v>1</v>
      </c>
      <c r="U248" s="57" t="s">
        <v>138</v>
      </c>
      <c r="V248" s="57" t="s">
        <v>1</v>
      </c>
      <c r="W248" s="57" t="s">
        <v>164</v>
      </c>
      <c r="X248" s="57" t="s">
        <v>1163</v>
      </c>
      <c r="Y248" s="57" t="s">
        <v>1163</v>
      </c>
    </row>
    <row r="249" spans="1:25" x14ac:dyDescent="0.3">
      <c r="A249" s="11" t="s">
        <v>1286</v>
      </c>
      <c r="B249" s="42">
        <v>702</v>
      </c>
      <c r="C249" s="23" t="s">
        <v>338</v>
      </c>
      <c r="D249" s="23" t="s">
        <v>74</v>
      </c>
      <c r="E249" s="9" t="s">
        <v>339</v>
      </c>
      <c r="F249" s="47">
        <v>44676</v>
      </c>
      <c r="G249" s="9" t="s">
        <v>43</v>
      </c>
      <c r="H249" s="9" t="s">
        <v>340</v>
      </c>
      <c r="I249" s="9" t="s">
        <v>5</v>
      </c>
      <c r="J249" s="43" t="s">
        <v>296</v>
      </c>
      <c r="K249" s="46" t="s">
        <v>39</v>
      </c>
      <c r="L249" s="57" t="s">
        <v>1</v>
      </c>
      <c r="M249" s="57" t="s">
        <v>138</v>
      </c>
      <c r="N249" s="57" t="s">
        <v>1</v>
      </c>
      <c r="O249" s="57" t="s">
        <v>138</v>
      </c>
      <c r="P249" s="57" t="s">
        <v>1</v>
      </c>
      <c r="Q249" s="57" t="s">
        <v>138</v>
      </c>
      <c r="R249" s="57" t="s">
        <v>1</v>
      </c>
      <c r="S249" s="57" t="s">
        <v>138</v>
      </c>
      <c r="T249" s="57" t="s">
        <v>3</v>
      </c>
      <c r="U249" s="57" t="s">
        <v>137</v>
      </c>
      <c r="V249" s="57" t="s">
        <v>1163</v>
      </c>
      <c r="W249" s="57" t="s">
        <v>1163</v>
      </c>
      <c r="X249" s="57" t="s">
        <v>1163</v>
      </c>
      <c r="Y249" s="57" t="s">
        <v>1163</v>
      </c>
    </row>
    <row r="250" spans="1:25" x14ac:dyDescent="0.3">
      <c r="A250" s="11" t="s">
        <v>1286</v>
      </c>
      <c r="B250" s="42">
        <v>1111</v>
      </c>
      <c r="C250" s="13" t="s">
        <v>508</v>
      </c>
      <c r="D250" s="13" t="s">
        <v>524</v>
      </c>
      <c r="E250" s="43" t="s">
        <v>509</v>
      </c>
      <c r="F250" s="44">
        <v>45721</v>
      </c>
      <c r="G250" s="43" t="s">
        <v>43</v>
      </c>
      <c r="H250" s="43" t="s">
        <v>510</v>
      </c>
      <c r="I250" s="43" t="s">
        <v>51</v>
      </c>
      <c r="J250" s="43" t="s">
        <v>420</v>
      </c>
      <c r="K250" s="49" t="s">
        <v>142</v>
      </c>
      <c r="L250" s="57" t="s">
        <v>1163</v>
      </c>
      <c r="M250" s="57" t="s">
        <v>1163</v>
      </c>
      <c r="N250" s="57" t="s">
        <v>1163</v>
      </c>
      <c r="O250" s="57" t="s">
        <v>1163</v>
      </c>
      <c r="P250" s="57" t="s">
        <v>1163</v>
      </c>
      <c r="Q250" s="57" t="s">
        <v>1163</v>
      </c>
      <c r="R250" s="57" t="s">
        <v>1163</v>
      </c>
      <c r="S250" s="57" t="s">
        <v>1163</v>
      </c>
      <c r="T250" s="57" t="s">
        <v>1163</v>
      </c>
      <c r="U250" s="57" t="s">
        <v>1163</v>
      </c>
      <c r="V250" s="57" t="s">
        <v>1163</v>
      </c>
      <c r="W250" s="57" t="s">
        <v>1163</v>
      </c>
      <c r="X250" s="57" t="s">
        <v>1163</v>
      </c>
      <c r="Y250" s="57" t="s">
        <v>1163</v>
      </c>
    </row>
    <row r="251" spans="1:25" x14ac:dyDescent="0.3">
      <c r="A251" s="11" t="s">
        <v>1286</v>
      </c>
      <c r="B251" s="42">
        <v>1275</v>
      </c>
      <c r="C251" s="13" t="s">
        <v>789</v>
      </c>
      <c r="D251" s="13" t="s">
        <v>790</v>
      </c>
      <c r="E251" s="43" t="s">
        <v>803</v>
      </c>
      <c r="F251" s="44">
        <v>45951</v>
      </c>
      <c r="G251" s="43" t="s">
        <v>43</v>
      </c>
      <c r="H251" s="43" t="s">
        <v>804</v>
      </c>
      <c r="I251" s="43" t="s">
        <v>51</v>
      </c>
      <c r="J251" s="43" t="s">
        <v>622</v>
      </c>
      <c r="K251" s="49" t="s">
        <v>142</v>
      </c>
      <c r="L251" s="57" t="s">
        <v>3</v>
      </c>
      <c r="M251" s="57" t="s">
        <v>139</v>
      </c>
      <c r="N251" s="57" t="s">
        <v>3</v>
      </c>
      <c r="O251" s="57" t="s">
        <v>139</v>
      </c>
      <c r="P251" s="57" t="s">
        <v>3</v>
      </c>
      <c r="Q251" s="57" t="s">
        <v>139</v>
      </c>
      <c r="R251" s="57" t="s">
        <v>1163</v>
      </c>
      <c r="S251" s="57" t="s">
        <v>1163</v>
      </c>
      <c r="T251" s="57" t="s">
        <v>3</v>
      </c>
      <c r="U251" s="57" t="s">
        <v>139</v>
      </c>
      <c r="V251" s="57" t="s">
        <v>1</v>
      </c>
      <c r="W251" s="57" t="s">
        <v>164</v>
      </c>
      <c r="X251" s="57" t="s">
        <v>1163</v>
      </c>
      <c r="Y251" s="57" t="s">
        <v>1163</v>
      </c>
    </row>
    <row r="252" spans="1:25" x14ac:dyDescent="0.3">
      <c r="A252" s="11" t="s">
        <v>1286</v>
      </c>
      <c r="B252" s="42">
        <v>1091</v>
      </c>
      <c r="C252" s="23" t="s">
        <v>547</v>
      </c>
      <c r="D252" s="23" t="s">
        <v>474</v>
      </c>
      <c r="E252" s="9" t="s">
        <v>548</v>
      </c>
      <c r="F252" s="47">
        <v>45712</v>
      </c>
      <c r="G252" s="9" t="s">
        <v>43</v>
      </c>
      <c r="H252" s="9" t="s">
        <v>475</v>
      </c>
      <c r="I252" s="9" t="s">
        <v>51</v>
      </c>
      <c r="J252" s="43" t="s">
        <v>473</v>
      </c>
      <c r="K252" s="49" t="s">
        <v>142</v>
      </c>
      <c r="L252" s="57" t="s">
        <v>3</v>
      </c>
      <c r="M252" s="57" t="s">
        <v>139</v>
      </c>
      <c r="N252" s="57" t="s">
        <v>3</v>
      </c>
      <c r="O252" s="57" t="s">
        <v>139</v>
      </c>
      <c r="P252" s="57" t="s">
        <v>3</v>
      </c>
      <c r="Q252" s="57" t="s">
        <v>139</v>
      </c>
      <c r="R252" s="57" t="s">
        <v>3</v>
      </c>
      <c r="S252" s="57" t="s">
        <v>139</v>
      </c>
      <c r="T252" s="57" t="s">
        <v>1163</v>
      </c>
      <c r="U252" s="57" t="s">
        <v>1163</v>
      </c>
      <c r="V252" s="57" t="s">
        <v>1</v>
      </c>
      <c r="W252" s="57" t="s">
        <v>164</v>
      </c>
      <c r="X252" s="57" t="s">
        <v>1163</v>
      </c>
      <c r="Y252" s="57" t="s">
        <v>1163</v>
      </c>
    </row>
    <row r="253" spans="1:25" x14ac:dyDescent="0.3">
      <c r="A253" s="11" t="s">
        <v>1286</v>
      </c>
      <c r="B253" s="42">
        <v>1326</v>
      </c>
      <c r="C253" s="13" t="s">
        <v>735</v>
      </c>
      <c r="D253" s="13" t="s">
        <v>719</v>
      </c>
      <c r="E253" s="43" t="s">
        <v>745</v>
      </c>
      <c r="F253" s="44">
        <v>45908</v>
      </c>
      <c r="G253" s="43" t="s">
        <v>43</v>
      </c>
      <c r="H253" s="43" t="s">
        <v>736</v>
      </c>
      <c r="I253" s="43" t="s">
        <v>51</v>
      </c>
      <c r="J253" s="43" t="s">
        <v>663</v>
      </c>
      <c r="K253" s="49" t="s">
        <v>52</v>
      </c>
      <c r="L253" s="57" t="s">
        <v>2</v>
      </c>
      <c r="M253" s="57" t="s">
        <v>137</v>
      </c>
      <c r="N253" s="57" t="s">
        <v>2</v>
      </c>
      <c r="O253" s="57" t="s">
        <v>137</v>
      </c>
      <c r="P253" s="57" t="s">
        <v>2</v>
      </c>
      <c r="Q253" s="57" t="s">
        <v>137</v>
      </c>
      <c r="R253" s="57" t="s">
        <v>2</v>
      </c>
      <c r="S253" s="57" t="s">
        <v>137</v>
      </c>
      <c r="T253" s="57" t="s">
        <v>2</v>
      </c>
      <c r="U253" s="57" t="s">
        <v>138</v>
      </c>
      <c r="V253" s="57" t="s">
        <v>1163</v>
      </c>
      <c r="W253" s="57" t="s">
        <v>1163</v>
      </c>
      <c r="X253" s="57" t="s">
        <v>1163</v>
      </c>
      <c r="Y253" s="57" t="s">
        <v>1163</v>
      </c>
    </row>
    <row r="254" spans="1:25" x14ac:dyDescent="0.3">
      <c r="A254" s="11" t="s">
        <v>1286</v>
      </c>
      <c r="B254" s="42">
        <v>191</v>
      </c>
      <c r="C254" s="13" t="s">
        <v>81</v>
      </c>
      <c r="D254" s="13" t="s">
        <v>82</v>
      </c>
      <c r="E254" s="43" t="s">
        <v>83</v>
      </c>
      <c r="F254" s="44">
        <v>43829</v>
      </c>
      <c r="G254" s="43" t="s">
        <v>43</v>
      </c>
      <c r="H254" s="43" t="s">
        <v>84</v>
      </c>
      <c r="I254" s="43" t="s">
        <v>51</v>
      </c>
      <c r="J254" s="43" t="s">
        <v>1142</v>
      </c>
      <c r="K254" s="49" t="s">
        <v>142</v>
      </c>
      <c r="L254" s="57" t="s">
        <v>1163</v>
      </c>
      <c r="M254" s="57" t="s">
        <v>1163</v>
      </c>
      <c r="N254" s="57" t="s">
        <v>1163</v>
      </c>
      <c r="O254" s="57" t="s">
        <v>1163</v>
      </c>
      <c r="P254" s="57" t="s">
        <v>1163</v>
      </c>
      <c r="Q254" s="57" t="s">
        <v>1163</v>
      </c>
      <c r="R254" s="57" t="s">
        <v>1163</v>
      </c>
      <c r="S254" s="57" t="s">
        <v>1163</v>
      </c>
      <c r="T254" s="57" t="s">
        <v>1163</v>
      </c>
      <c r="U254" s="57" t="s">
        <v>1163</v>
      </c>
      <c r="V254" s="57" t="s">
        <v>1163</v>
      </c>
      <c r="W254" s="57" t="s">
        <v>1163</v>
      </c>
      <c r="X254" s="57" t="s">
        <v>1163</v>
      </c>
      <c r="Y254" s="57" t="s">
        <v>1163</v>
      </c>
    </row>
    <row r="255" spans="1:25" x14ac:dyDescent="0.3">
      <c r="A255" s="11" t="s">
        <v>1286</v>
      </c>
      <c r="B255" s="42">
        <v>725</v>
      </c>
      <c r="C255" s="13" t="s">
        <v>129</v>
      </c>
      <c r="D255" s="13" t="s">
        <v>130</v>
      </c>
      <c r="E255" s="43" t="s">
        <v>131</v>
      </c>
      <c r="F255" s="44">
        <v>44725</v>
      </c>
      <c r="G255" s="43" t="s">
        <v>43</v>
      </c>
      <c r="H255" s="43" t="s">
        <v>132</v>
      </c>
      <c r="I255" s="43" t="s">
        <v>59</v>
      </c>
      <c r="J255" s="43" t="s">
        <v>484</v>
      </c>
      <c r="K255" s="49" t="s">
        <v>57</v>
      </c>
      <c r="L255" s="57" t="s">
        <v>2</v>
      </c>
      <c r="M255" s="57" t="s">
        <v>137</v>
      </c>
      <c r="N255" s="57" t="s">
        <v>2</v>
      </c>
      <c r="O255" s="57" t="s">
        <v>137</v>
      </c>
      <c r="P255" s="57" t="s">
        <v>1163</v>
      </c>
      <c r="Q255" s="57" t="s">
        <v>1163</v>
      </c>
      <c r="R255" s="57" t="s">
        <v>2</v>
      </c>
      <c r="S255" s="57" t="s">
        <v>137</v>
      </c>
      <c r="T255" s="57" t="s">
        <v>2</v>
      </c>
      <c r="U255" s="57" t="s">
        <v>137</v>
      </c>
      <c r="V255" s="57" t="s">
        <v>2</v>
      </c>
      <c r="W255" s="57" t="s">
        <v>138</v>
      </c>
      <c r="X255" s="57" t="s">
        <v>1163</v>
      </c>
      <c r="Y255" s="57" t="s">
        <v>1163</v>
      </c>
    </row>
    <row r="256" spans="1:25" x14ac:dyDescent="0.3">
      <c r="A256" s="11" t="s">
        <v>1286</v>
      </c>
      <c r="B256" s="42">
        <v>1339</v>
      </c>
      <c r="C256" s="13" t="s">
        <v>767</v>
      </c>
      <c r="D256" s="13" t="s">
        <v>86</v>
      </c>
      <c r="E256" s="43" t="s">
        <v>783</v>
      </c>
      <c r="F256" s="44">
        <v>45936</v>
      </c>
      <c r="G256" s="43" t="s">
        <v>43</v>
      </c>
      <c r="H256" s="43" t="s">
        <v>768</v>
      </c>
      <c r="I256" s="43" t="s">
        <v>5</v>
      </c>
      <c r="J256" s="43" t="s">
        <v>196</v>
      </c>
      <c r="K256" s="49" t="s">
        <v>50</v>
      </c>
      <c r="L256" s="57" t="s">
        <v>1</v>
      </c>
      <c r="M256" s="57" t="s">
        <v>138</v>
      </c>
      <c r="N256" s="57" t="s">
        <v>1</v>
      </c>
      <c r="O256" s="57" t="s">
        <v>138</v>
      </c>
      <c r="P256" s="57" t="s">
        <v>1163</v>
      </c>
      <c r="Q256" s="57" t="s">
        <v>1163</v>
      </c>
      <c r="R256" s="57" t="s">
        <v>1</v>
      </c>
      <c r="S256" s="57" t="s">
        <v>138</v>
      </c>
      <c r="T256" s="57" t="s">
        <v>1</v>
      </c>
      <c r="U256" s="57" t="s">
        <v>138</v>
      </c>
      <c r="V256" s="57" t="s">
        <v>1</v>
      </c>
      <c r="W256" s="57" t="s">
        <v>164</v>
      </c>
      <c r="X256" s="57" t="s">
        <v>1163</v>
      </c>
      <c r="Y256" s="57" t="s">
        <v>1163</v>
      </c>
    </row>
    <row r="257" spans="1:25" x14ac:dyDescent="0.3">
      <c r="A257" s="11" t="s">
        <v>1286</v>
      </c>
      <c r="B257" s="42">
        <v>708</v>
      </c>
      <c r="C257" s="23" t="s">
        <v>98</v>
      </c>
      <c r="D257" s="23" t="s">
        <v>85</v>
      </c>
      <c r="E257" s="9" t="s">
        <v>121</v>
      </c>
      <c r="F257" s="47">
        <v>44676</v>
      </c>
      <c r="G257" s="9" t="s">
        <v>43</v>
      </c>
      <c r="H257" s="9" t="s">
        <v>122</v>
      </c>
      <c r="I257" s="9" t="s">
        <v>6</v>
      </c>
      <c r="J257" s="43" t="s">
        <v>123</v>
      </c>
      <c r="K257" s="49" t="s">
        <v>96</v>
      </c>
      <c r="L257" s="57" t="s">
        <v>1</v>
      </c>
      <c r="M257" s="57" t="s">
        <v>138</v>
      </c>
      <c r="N257" s="57" t="s">
        <v>1</v>
      </c>
      <c r="O257" s="57" t="s">
        <v>138</v>
      </c>
      <c r="P257" s="57" t="s">
        <v>1</v>
      </c>
      <c r="Q257" s="57" t="s">
        <v>138</v>
      </c>
      <c r="R257" s="57" t="s">
        <v>1163</v>
      </c>
      <c r="S257" s="57" t="s">
        <v>1163</v>
      </c>
      <c r="T257" s="57" t="s">
        <v>1</v>
      </c>
      <c r="U257" s="57" t="s">
        <v>138</v>
      </c>
      <c r="V257" s="57" t="s">
        <v>1</v>
      </c>
      <c r="W257" s="57" t="s">
        <v>164</v>
      </c>
      <c r="X257" s="57" t="s">
        <v>1163</v>
      </c>
      <c r="Y257" s="57" t="s">
        <v>1163</v>
      </c>
    </row>
    <row r="258" spans="1:25" x14ac:dyDescent="0.3">
      <c r="A258" s="11" t="s">
        <v>1286</v>
      </c>
      <c r="B258" s="42">
        <v>1082</v>
      </c>
      <c r="C258" s="23" t="s">
        <v>463</v>
      </c>
      <c r="D258" s="23" t="s">
        <v>346</v>
      </c>
      <c r="E258" s="9" t="s">
        <v>464</v>
      </c>
      <c r="F258" s="47">
        <v>45691</v>
      </c>
      <c r="G258" s="9" t="s">
        <v>461</v>
      </c>
      <c r="H258" s="9" t="s">
        <v>465</v>
      </c>
      <c r="I258" s="9" t="s">
        <v>6</v>
      </c>
      <c r="J258" s="43" t="s">
        <v>159</v>
      </c>
      <c r="K258" s="49" t="s">
        <v>62</v>
      </c>
      <c r="L258" s="57" t="s">
        <v>1</v>
      </c>
      <c r="M258" s="57" t="s">
        <v>138</v>
      </c>
      <c r="N258" s="57" t="s">
        <v>1</v>
      </c>
      <c r="O258" s="57" t="s">
        <v>138</v>
      </c>
      <c r="P258" s="57" t="s">
        <v>1</v>
      </c>
      <c r="Q258" s="57" t="s">
        <v>138</v>
      </c>
      <c r="R258" s="57" t="s">
        <v>1</v>
      </c>
      <c r="S258" s="57" t="s">
        <v>138</v>
      </c>
      <c r="T258" s="57" t="s">
        <v>1</v>
      </c>
      <c r="U258" s="57" t="s">
        <v>164</v>
      </c>
      <c r="V258" s="57" t="s">
        <v>1163</v>
      </c>
      <c r="W258" s="57" t="s">
        <v>1163</v>
      </c>
      <c r="X258" s="57" t="s">
        <v>1163</v>
      </c>
      <c r="Y258" s="57" t="s">
        <v>1163</v>
      </c>
    </row>
    <row r="259" spans="1:25" x14ac:dyDescent="0.3">
      <c r="A259" s="11" t="s">
        <v>1286</v>
      </c>
      <c r="B259" s="42">
        <v>1242</v>
      </c>
      <c r="C259" s="23" t="s">
        <v>680</v>
      </c>
      <c r="D259" s="23" t="s">
        <v>157</v>
      </c>
      <c r="E259" s="9" t="s">
        <v>681</v>
      </c>
      <c r="F259" s="47">
        <v>45873</v>
      </c>
      <c r="G259" s="9" t="s">
        <v>461</v>
      </c>
      <c r="H259" s="9" t="s">
        <v>690</v>
      </c>
      <c r="I259" s="9" t="s">
        <v>51</v>
      </c>
      <c r="J259" s="43" t="s">
        <v>663</v>
      </c>
      <c r="K259" s="49" t="s">
        <v>52</v>
      </c>
      <c r="L259" s="57" t="s">
        <v>3</v>
      </c>
      <c r="M259" s="57" t="s">
        <v>139</v>
      </c>
      <c r="N259" s="57" t="s">
        <v>3</v>
      </c>
      <c r="O259" s="57" t="s">
        <v>139</v>
      </c>
      <c r="P259" s="57" t="s">
        <v>3</v>
      </c>
      <c r="Q259" s="57" t="s">
        <v>139</v>
      </c>
      <c r="R259" s="57" t="s">
        <v>1163</v>
      </c>
      <c r="S259" s="57" t="s">
        <v>1163</v>
      </c>
      <c r="T259" s="57" t="s">
        <v>3</v>
      </c>
      <c r="U259" s="57" t="s">
        <v>139</v>
      </c>
      <c r="V259" s="57" t="s">
        <v>2</v>
      </c>
      <c r="W259" s="57" t="s">
        <v>138</v>
      </c>
      <c r="X259" s="57" t="s">
        <v>1163</v>
      </c>
      <c r="Y259" s="57" t="s">
        <v>1163</v>
      </c>
    </row>
    <row r="260" spans="1:25" x14ac:dyDescent="0.3">
      <c r="A260" s="11" t="s">
        <v>1286</v>
      </c>
      <c r="B260" s="42">
        <v>1243</v>
      </c>
      <c r="C260" s="13" t="s">
        <v>687</v>
      </c>
      <c r="D260" s="13" t="s">
        <v>688</v>
      </c>
      <c r="E260" s="43" t="s">
        <v>689</v>
      </c>
      <c r="F260" s="44">
        <v>45873</v>
      </c>
      <c r="G260" s="43" t="s">
        <v>461</v>
      </c>
      <c r="H260" s="43" t="s">
        <v>693</v>
      </c>
      <c r="I260" s="43" t="s">
        <v>6</v>
      </c>
      <c r="J260" s="43" t="s">
        <v>487</v>
      </c>
      <c r="K260" s="46" t="s">
        <v>62</v>
      </c>
      <c r="L260" s="57" t="s">
        <v>1</v>
      </c>
      <c r="M260" s="57" t="s">
        <v>138</v>
      </c>
      <c r="N260" s="57" t="s">
        <v>1</v>
      </c>
      <c r="O260" s="57" t="s">
        <v>138</v>
      </c>
      <c r="P260" s="57" t="s">
        <v>1</v>
      </c>
      <c r="Q260" s="57" t="s">
        <v>138</v>
      </c>
      <c r="R260" s="57" t="s">
        <v>1163</v>
      </c>
      <c r="S260" s="57" t="s">
        <v>1163</v>
      </c>
      <c r="T260" s="57" t="s">
        <v>1</v>
      </c>
      <c r="U260" s="57" t="s">
        <v>138</v>
      </c>
      <c r="V260" s="57" t="s">
        <v>1</v>
      </c>
      <c r="W260" s="57" t="s">
        <v>164</v>
      </c>
      <c r="X260" s="57" t="s">
        <v>1163</v>
      </c>
      <c r="Y260" s="57" t="s">
        <v>1163</v>
      </c>
    </row>
    <row r="261" spans="1:25" x14ac:dyDescent="0.3">
      <c r="A261" s="11" t="s">
        <v>1286</v>
      </c>
      <c r="B261" s="42">
        <v>1232</v>
      </c>
      <c r="C261" s="23" t="s">
        <v>685</v>
      </c>
      <c r="D261" s="23" t="s">
        <v>640</v>
      </c>
      <c r="E261" s="9" t="s">
        <v>686</v>
      </c>
      <c r="F261" s="47">
        <v>45873</v>
      </c>
      <c r="G261" s="9" t="s">
        <v>461</v>
      </c>
      <c r="H261" s="9" t="s">
        <v>692</v>
      </c>
      <c r="I261" s="9" t="s">
        <v>51</v>
      </c>
      <c r="J261" s="43" t="s">
        <v>224</v>
      </c>
      <c r="K261" s="49" t="s">
        <v>52</v>
      </c>
      <c r="L261" s="57" t="s">
        <v>2</v>
      </c>
      <c r="M261" s="57" t="s">
        <v>137</v>
      </c>
      <c r="N261" s="57" t="s">
        <v>2</v>
      </c>
      <c r="O261" s="57" t="s">
        <v>137</v>
      </c>
      <c r="P261" s="57" t="s">
        <v>1163</v>
      </c>
      <c r="Q261" s="57" t="s">
        <v>1163</v>
      </c>
      <c r="R261" s="57" t="s">
        <v>2</v>
      </c>
      <c r="S261" s="57" t="s">
        <v>137</v>
      </c>
      <c r="T261" s="57" t="s">
        <v>2</v>
      </c>
      <c r="U261" s="57" t="s">
        <v>137</v>
      </c>
      <c r="V261" s="57" t="s">
        <v>2</v>
      </c>
      <c r="W261" s="57" t="s">
        <v>138</v>
      </c>
      <c r="X261" s="57" t="s">
        <v>1163</v>
      </c>
      <c r="Y261" s="57" t="s">
        <v>1163</v>
      </c>
    </row>
    <row r="262" spans="1:25" x14ac:dyDescent="0.3">
      <c r="A262" s="11" t="s">
        <v>1286</v>
      </c>
      <c r="B262" s="42">
        <v>1236</v>
      </c>
      <c r="C262" s="13" t="s">
        <v>682</v>
      </c>
      <c r="D262" s="13" t="s">
        <v>109</v>
      </c>
      <c r="E262" s="43" t="s">
        <v>683</v>
      </c>
      <c r="F262" s="44">
        <v>45873</v>
      </c>
      <c r="G262" s="43" t="s">
        <v>461</v>
      </c>
      <c r="H262" s="43" t="s">
        <v>691</v>
      </c>
      <c r="I262" s="43" t="s">
        <v>5</v>
      </c>
      <c r="J262" s="43" t="s">
        <v>451</v>
      </c>
      <c r="K262" s="49" t="s">
        <v>50</v>
      </c>
      <c r="L262" s="57" t="s">
        <v>2</v>
      </c>
      <c r="M262" s="57" t="s">
        <v>137</v>
      </c>
      <c r="N262" s="57" t="s">
        <v>2</v>
      </c>
      <c r="O262" s="57" t="s">
        <v>137</v>
      </c>
      <c r="P262" s="57" t="s">
        <v>2</v>
      </c>
      <c r="Q262" s="57" t="s">
        <v>137</v>
      </c>
      <c r="R262" s="57" t="s">
        <v>2</v>
      </c>
      <c r="S262" s="57" t="s">
        <v>137</v>
      </c>
      <c r="T262" s="66" t="s">
        <v>3</v>
      </c>
      <c r="U262" s="66" t="s">
        <v>137</v>
      </c>
      <c r="V262" s="57" t="s">
        <v>1163</v>
      </c>
      <c r="W262" s="57" t="s">
        <v>1163</v>
      </c>
      <c r="X262" s="57" t="s">
        <v>1163</v>
      </c>
      <c r="Y262" s="57" t="s">
        <v>1163</v>
      </c>
    </row>
    <row r="263" spans="1:25" x14ac:dyDescent="0.3">
      <c r="A263" s="11" t="s">
        <v>1286</v>
      </c>
      <c r="B263" s="42">
        <v>1231</v>
      </c>
      <c r="C263" s="13" t="s">
        <v>1143</v>
      </c>
      <c r="D263" s="13" t="s">
        <v>213</v>
      </c>
      <c r="E263" s="43" t="s">
        <v>1144</v>
      </c>
      <c r="F263" s="44">
        <v>45873</v>
      </c>
      <c r="G263" s="43" t="s">
        <v>461</v>
      </c>
      <c r="H263" s="38" t="s">
        <v>1284</v>
      </c>
      <c r="I263" s="43" t="s">
        <v>51</v>
      </c>
      <c r="J263" s="43" t="s">
        <v>471</v>
      </c>
      <c r="K263" s="49" t="s">
        <v>57</v>
      </c>
      <c r="L263" s="57" t="s">
        <v>3</v>
      </c>
      <c r="M263" s="57" t="s">
        <v>139</v>
      </c>
      <c r="N263" s="57" t="s">
        <v>3</v>
      </c>
      <c r="O263" s="57" t="s">
        <v>139</v>
      </c>
      <c r="P263" s="57" t="s">
        <v>3</v>
      </c>
      <c r="Q263" s="57" t="s">
        <v>139</v>
      </c>
      <c r="R263" s="57" t="s">
        <v>3</v>
      </c>
      <c r="S263" s="57" t="s">
        <v>139</v>
      </c>
      <c r="T263" s="57" t="s">
        <v>4</v>
      </c>
      <c r="U263" s="57" t="s">
        <v>139</v>
      </c>
      <c r="V263" s="57" t="s">
        <v>1163</v>
      </c>
      <c r="W263" s="57" t="s">
        <v>1163</v>
      </c>
      <c r="X263" s="57" t="s">
        <v>1163</v>
      </c>
      <c r="Y263" s="57" t="s">
        <v>1163</v>
      </c>
    </row>
    <row r="264" spans="1:25" x14ac:dyDescent="0.3">
      <c r="A264" s="11" t="s">
        <v>1286</v>
      </c>
      <c r="B264" s="53"/>
      <c r="C264" s="13" t="s">
        <v>1181</v>
      </c>
      <c r="D264" s="13" t="s">
        <v>346</v>
      </c>
      <c r="E264" s="8" t="s">
        <v>1183</v>
      </c>
      <c r="F264" s="55">
        <v>46181</v>
      </c>
      <c r="G264" s="54" t="s">
        <v>1099</v>
      </c>
      <c r="H264" s="33" t="s">
        <v>1182</v>
      </c>
      <c r="I264" s="34" t="s">
        <v>6</v>
      </c>
      <c r="J264" s="34" t="s">
        <v>113</v>
      </c>
      <c r="K264" s="56" t="s">
        <v>62</v>
      </c>
      <c r="L264" s="58" t="s">
        <v>2</v>
      </c>
      <c r="M264" s="58" t="s">
        <v>138</v>
      </c>
      <c r="N264" s="58" t="s">
        <v>2</v>
      </c>
      <c r="O264" s="58" t="s">
        <v>138</v>
      </c>
      <c r="P264" s="58" t="s">
        <v>2</v>
      </c>
      <c r="Q264" s="58" t="s">
        <v>138</v>
      </c>
      <c r="R264" s="58" t="s">
        <v>2</v>
      </c>
      <c r="S264" s="58" t="s">
        <v>138</v>
      </c>
      <c r="T264" s="58" t="s">
        <v>2</v>
      </c>
      <c r="U264" s="58" t="s">
        <v>138</v>
      </c>
      <c r="V264" s="58" t="s">
        <v>1163</v>
      </c>
      <c r="W264" s="58" t="s">
        <v>1163</v>
      </c>
      <c r="X264" s="52" t="s">
        <v>1163</v>
      </c>
      <c r="Y264" s="52" t="s">
        <v>1163</v>
      </c>
    </row>
    <row r="265" spans="1:25" s="60" customFormat="1" x14ac:dyDescent="0.3">
      <c r="A265" s="11" t="s">
        <v>1286</v>
      </c>
      <c r="B265" s="53"/>
      <c r="C265" s="13" t="s">
        <v>1186</v>
      </c>
      <c r="D265" s="13" t="s">
        <v>74</v>
      </c>
      <c r="E265" s="8" t="s">
        <v>1185</v>
      </c>
      <c r="F265" s="55">
        <v>46181</v>
      </c>
      <c r="G265" s="62" t="s">
        <v>1099</v>
      </c>
      <c r="H265" s="62" t="s">
        <v>1187</v>
      </c>
      <c r="I265" s="62" t="s">
        <v>6</v>
      </c>
      <c r="J265" s="62" t="s">
        <v>1111</v>
      </c>
      <c r="K265" s="62" t="s">
        <v>62</v>
      </c>
      <c r="L265" s="58" t="s">
        <v>2</v>
      </c>
      <c r="M265" s="58" t="s">
        <v>138</v>
      </c>
      <c r="N265" s="58" t="s">
        <v>2</v>
      </c>
      <c r="O265" s="58" t="s">
        <v>138</v>
      </c>
      <c r="P265" s="58" t="s">
        <v>2</v>
      </c>
      <c r="Q265" s="58" t="s">
        <v>138</v>
      </c>
      <c r="R265" s="58" t="s">
        <v>2</v>
      </c>
      <c r="S265" s="58" t="s">
        <v>138</v>
      </c>
      <c r="T265" s="58" t="s">
        <v>2</v>
      </c>
      <c r="U265" s="58" t="s">
        <v>138</v>
      </c>
      <c r="V265" s="58" t="s">
        <v>1163</v>
      </c>
      <c r="W265" s="58" t="s">
        <v>1163</v>
      </c>
      <c r="X265" s="52" t="s">
        <v>1163</v>
      </c>
      <c r="Y265" s="52" t="s">
        <v>1163</v>
      </c>
    </row>
    <row r="266" spans="1:25" s="60" customFormat="1" x14ac:dyDescent="0.3">
      <c r="A266" s="11" t="s">
        <v>1286</v>
      </c>
      <c r="B266" s="53"/>
      <c r="C266" s="13" t="s">
        <v>1188</v>
      </c>
      <c r="D266" s="13" t="s">
        <v>1189</v>
      </c>
      <c r="E266" s="8" t="s">
        <v>1190</v>
      </c>
      <c r="F266" s="55">
        <v>46181</v>
      </c>
      <c r="G266" s="62" t="s">
        <v>1099</v>
      </c>
      <c r="H266" s="62" t="s">
        <v>1191</v>
      </c>
      <c r="I266" s="62" t="s">
        <v>6</v>
      </c>
      <c r="J266" s="62" t="s">
        <v>1192</v>
      </c>
      <c r="K266" s="62" t="s">
        <v>62</v>
      </c>
      <c r="L266" s="58" t="s">
        <v>2</v>
      </c>
      <c r="M266" s="58" t="s">
        <v>138</v>
      </c>
      <c r="N266" s="58" t="s">
        <v>2</v>
      </c>
      <c r="O266" s="58" t="s">
        <v>138</v>
      </c>
      <c r="P266" s="58" t="s">
        <v>2</v>
      </c>
      <c r="Q266" s="58" t="s">
        <v>138</v>
      </c>
      <c r="R266" s="58" t="s">
        <v>2</v>
      </c>
      <c r="S266" s="58" t="s">
        <v>138</v>
      </c>
      <c r="T266" s="58" t="s">
        <v>2</v>
      </c>
      <c r="U266" s="58" t="s">
        <v>138</v>
      </c>
      <c r="V266" s="58" t="s">
        <v>1163</v>
      </c>
      <c r="W266" s="58" t="s">
        <v>1163</v>
      </c>
      <c r="X266" s="52" t="s">
        <v>1163</v>
      </c>
      <c r="Y266" s="52" t="s">
        <v>1163</v>
      </c>
    </row>
    <row r="267" spans="1:25" s="60" customFormat="1" x14ac:dyDescent="0.3">
      <c r="A267" s="11" t="s">
        <v>1286</v>
      </c>
      <c r="B267" s="53"/>
      <c r="C267" s="13" t="s">
        <v>1193</v>
      </c>
      <c r="D267" s="13" t="s">
        <v>1194</v>
      </c>
      <c r="E267" s="8" t="s">
        <v>1195</v>
      </c>
      <c r="F267" s="55">
        <v>46184</v>
      </c>
      <c r="G267" s="62" t="s">
        <v>1099</v>
      </c>
      <c r="H267" s="62" t="s">
        <v>1196</v>
      </c>
      <c r="I267" s="62" t="s">
        <v>6</v>
      </c>
      <c r="J267" s="62" t="s">
        <v>1111</v>
      </c>
      <c r="K267" s="62" t="s">
        <v>62</v>
      </c>
      <c r="L267" s="58" t="s">
        <v>2</v>
      </c>
      <c r="M267" s="58" t="s">
        <v>138</v>
      </c>
      <c r="N267" s="58" t="s">
        <v>2</v>
      </c>
      <c r="O267" s="58" t="s">
        <v>138</v>
      </c>
      <c r="P267" s="58" t="s">
        <v>2</v>
      </c>
      <c r="Q267" s="58" t="s">
        <v>138</v>
      </c>
      <c r="R267" s="58" t="s">
        <v>2</v>
      </c>
      <c r="S267" s="58" t="s">
        <v>138</v>
      </c>
      <c r="T267" s="58" t="s">
        <v>2</v>
      </c>
      <c r="U267" s="58" t="s">
        <v>138</v>
      </c>
      <c r="V267" s="58" t="s">
        <v>1163</v>
      </c>
      <c r="W267" s="58" t="s">
        <v>1163</v>
      </c>
      <c r="X267" s="52" t="s">
        <v>1163</v>
      </c>
      <c r="Y267" s="52" t="s">
        <v>1163</v>
      </c>
    </row>
    <row r="268" spans="1:25" customFormat="1" x14ac:dyDescent="0.3">
      <c r="A268" s="11" t="s">
        <v>1286</v>
      </c>
      <c r="B268" s="42"/>
      <c r="C268" s="13" t="s">
        <v>630</v>
      </c>
      <c r="D268" s="13" t="s">
        <v>73</v>
      </c>
      <c r="E268" s="13" t="s">
        <v>1198</v>
      </c>
      <c r="F268" s="44">
        <v>46181</v>
      </c>
      <c r="G268" s="13" t="s">
        <v>1099</v>
      </c>
      <c r="H268" s="13" t="s">
        <v>1199</v>
      </c>
      <c r="I268" s="13" t="s">
        <v>51</v>
      </c>
      <c r="J268" s="13" t="s">
        <v>1041</v>
      </c>
      <c r="K268" s="13" t="s">
        <v>142</v>
      </c>
      <c r="L268" s="58" t="s">
        <v>2</v>
      </c>
      <c r="M268" s="58" t="s">
        <v>138</v>
      </c>
      <c r="N268" s="58" t="s">
        <v>2</v>
      </c>
      <c r="O268" s="58" t="s">
        <v>138</v>
      </c>
      <c r="P268" s="58" t="s">
        <v>2</v>
      </c>
      <c r="Q268" s="58" t="s">
        <v>138</v>
      </c>
      <c r="R268" s="58" t="s">
        <v>2</v>
      </c>
      <c r="S268" s="58" t="s">
        <v>138</v>
      </c>
      <c r="T268" s="58" t="s">
        <v>2</v>
      </c>
      <c r="U268" s="58" t="s">
        <v>138</v>
      </c>
      <c r="V268" s="58" t="s">
        <v>1163</v>
      </c>
      <c r="W268" s="58" t="s">
        <v>1163</v>
      </c>
      <c r="X268" s="29" t="s">
        <v>1163</v>
      </c>
      <c r="Y268" s="29" t="s">
        <v>1163</v>
      </c>
    </row>
    <row r="269" spans="1:25" customFormat="1" x14ac:dyDescent="0.3">
      <c r="A269" s="11" t="s">
        <v>1286</v>
      </c>
      <c r="B269" s="42"/>
      <c r="C269" s="13" t="s">
        <v>1200</v>
      </c>
      <c r="D269" s="13" t="s">
        <v>1201</v>
      </c>
      <c r="E269" s="13" t="s">
        <v>1202</v>
      </c>
      <c r="F269" s="44">
        <v>46181</v>
      </c>
      <c r="G269" s="13" t="s">
        <v>1099</v>
      </c>
      <c r="H269" s="13" t="s">
        <v>1203</v>
      </c>
      <c r="I269" s="13" t="s">
        <v>51</v>
      </c>
      <c r="J269" s="13" t="s">
        <v>72</v>
      </c>
      <c r="K269" s="13" t="s">
        <v>52</v>
      </c>
      <c r="L269" s="58" t="s">
        <v>2</v>
      </c>
      <c r="M269" s="58" t="s">
        <v>138</v>
      </c>
      <c r="N269" s="58" t="s">
        <v>2</v>
      </c>
      <c r="O269" s="58" t="s">
        <v>138</v>
      </c>
      <c r="P269" s="58" t="s">
        <v>2</v>
      </c>
      <c r="Q269" s="58" t="s">
        <v>138</v>
      </c>
      <c r="R269" s="58" t="s">
        <v>2</v>
      </c>
      <c r="S269" s="58" t="s">
        <v>138</v>
      </c>
      <c r="T269" s="58" t="s">
        <v>2</v>
      </c>
      <c r="U269" s="58" t="s">
        <v>138</v>
      </c>
      <c r="V269" s="58" t="s">
        <v>1163</v>
      </c>
      <c r="W269" s="58" t="s">
        <v>1163</v>
      </c>
      <c r="X269" s="29" t="s">
        <v>1163</v>
      </c>
      <c r="Y269" s="29" t="s">
        <v>1163</v>
      </c>
    </row>
    <row r="270" spans="1:25" s="18" customFormat="1" x14ac:dyDescent="0.3">
      <c r="A270" s="11" t="s">
        <v>1286</v>
      </c>
      <c r="B270" s="12"/>
      <c r="C270" s="23" t="s">
        <v>1204</v>
      </c>
      <c r="D270" s="23" t="s">
        <v>310</v>
      </c>
      <c r="E270" s="22" t="s">
        <v>1205</v>
      </c>
      <c r="F270" s="24">
        <v>46191</v>
      </c>
      <c r="G270" s="22" t="s">
        <v>1155</v>
      </c>
      <c r="H270" s="22" t="s">
        <v>1206</v>
      </c>
      <c r="I270" s="22" t="s">
        <v>51</v>
      </c>
      <c r="J270" s="22" t="s">
        <v>1016</v>
      </c>
      <c r="K270" s="16" t="s">
        <v>142</v>
      </c>
      <c r="L270" s="58" t="s">
        <v>2</v>
      </c>
      <c r="M270" s="58" t="s">
        <v>137</v>
      </c>
      <c r="N270" s="58" t="s">
        <v>2</v>
      </c>
      <c r="O270" s="58" t="s">
        <v>137</v>
      </c>
      <c r="P270" s="58" t="s">
        <v>2</v>
      </c>
      <c r="Q270" s="58" t="s">
        <v>137</v>
      </c>
      <c r="R270" s="29" t="s">
        <v>1163</v>
      </c>
      <c r="S270" s="29" t="s">
        <v>1163</v>
      </c>
      <c r="T270" s="58" t="s">
        <v>2</v>
      </c>
      <c r="U270" s="58" t="s">
        <v>137</v>
      </c>
      <c r="V270" s="58" t="s">
        <v>1</v>
      </c>
      <c r="W270" s="58" t="s">
        <v>149</v>
      </c>
      <c r="X270" s="61" t="s">
        <v>1163</v>
      </c>
      <c r="Y270" s="61" t="s">
        <v>1163</v>
      </c>
    </row>
    <row r="271" spans="1:25" s="18" customFormat="1" x14ac:dyDescent="0.3">
      <c r="A271" s="11" t="s">
        <v>1286</v>
      </c>
      <c r="B271" s="12"/>
      <c r="C271" s="23" t="s">
        <v>1207</v>
      </c>
      <c r="D271" s="23" t="s">
        <v>524</v>
      </c>
      <c r="E271" s="22" t="s">
        <v>1208</v>
      </c>
      <c r="F271" s="24">
        <v>46191</v>
      </c>
      <c r="G271" s="22" t="s">
        <v>1155</v>
      </c>
      <c r="H271" s="22" t="s">
        <v>1209</v>
      </c>
      <c r="I271" s="22" t="s">
        <v>5</v>
      </c>
      <c r="J271" s="22" t="s">
        <v>76</v>
      </c>
      <c r="K271" s="16" t="s">
        <v>39</v>
      </c>
      <c r="L271" s="58" t="s">
        <v>2</v>
      </c>
      <c r="M271" s="58" t="s">
        <v>137</v>
      </c>
      <c r="N271" s="58" t="s">
        <v>2</v>
      </c>
      <c r="O271" s="58" t="s">
        <v>137</v>
      </c>
      <c r="P271" s="58" t="s">
        <v>2</v>
      </c>
      <c r="Q271" s="58" t="s">
        <v>137</v>
      </c>
      <c r="R271" s="58" t="s">
        <v>2</v>
      </c>
      <c r="S271" s="58" t="s">
        <v>137</v>
      </c>
      <c r="T271" s="29" t="s">
        <v>1163</v>
      </c>
      <c r="U271" s="29" t="s">
        <v>1163</v>
      </c>
      <c r="V271" s="58" t="s">
        <v>1</v>
      </c>
      <c r="W271" s="58" t="s">
        <v>149</v>
      </c>
      <c r="X271" s="61" t="s">
        <v>1163</v>
      </c>
      <c r="Y271" s="61" t="s">
        <v>1163</v>
      </c>
    </row>
    <row r="272" spans="1:25" s="18" customFormat="1" x14ac:dyDescent="0.3">
      <c r="A272" s="11" t="s">
        <v>1286</v>
      </c>
      <c r="B272" s="12"/>
      <c r="C272" s="23" t="s">
        <v>1210</v>
      </c>
      <c r="D272" s="23" t="s">
        <v>1211</v>
      </c>
      <c r="E272" s="22" t="s">
        <v>1212</v>
      </c>
      <c r="F272" s="24">
        <v>46191</v>
      </c>
      <c r="G272" s="22" t="s">
        <v>1155</v>
      </c>
      <c r="H272" s="22" t="s">
        <v>1213</v>
      </c>
      <c r="I272" s="22" t="s">
        <v>5</v>
      </c>
      <c r="J272" s="22" t="s">
        <v>684</v>
      </c>
      <c r="K272" s="16" t="s">
        <v>63</v>
      </c>
      <c r="L272" s="58" t="s">
        <v>2</v>
      </c>
      <c r="M272" s="58" t="s">
        <v>137</v>
      </c>
      <c r="N272" s="58" t="s">
        <v>2</v>
      </c>
      <c r="O272" s="58" t="s">
        <v>137</v>
      </c>
      <c r="P272" s="58" t="s">
        <v>2</v>
      </c>
      <c r="Q272" s="58" t="s">
        <v>137</v>
      </c>
      <c r="R272" s="58" t="s">
        <v>2</v>
      </c>
      <c r="S272" s="58" t="s">
        <v>137</v>
      </c>
      <c r="T272" s="29" t="s">
        <v>1163</v>
      </c>
      <c r="U272" s="29" t="s">
        <v>1163</v>
      </c>
      <c r="V272" s="58" t="s">
        <v>1</v>
      </c>
      <c r="W272" s="58" t="s">
        <v>149</v>
      </c>
      <c r="X272" s="61" t="s">
        <v>1163</v>
      </c>
      <c r="Y272" s="61" t="s">
        <v>1163</v>
      </c>
    </row>
    <row r="273" spans="1:25" x14ac:dyDescent="0.3">
      <c r="A273" s="11" t="s">
        <v>1286</v>
      </c>
      <c r="B273" s="12"/>
      <c r="C273" s="23" t="s">
        <v>1216</v>
      </c>
      <c r="D273" s="23" t="s">
        <v>1217</v>
      </c>
      <c r="E273" s="22" t="str">
        <f>CONCATENATE(C273," ",D273)</f>
        <v>EZZAMET MARWA</v>
      </c>
      <c r="F273" s="24">
        <v>46205</v>
      </c>
      <c r="G273" s="33" t="s">
        <v>1215</v>
      </c>
      <c r="H273" s="22" t="s">
        <v>1218</v>
      </c>
      <c r="I273" s="22" t="s">
        <v>59</v>
      </c>
      <c r="J273" s="22" t="s">
        <v>1219</v>
      </c>
      <c r="K273" s="16" t="s">
        <v>57</v>
      </c>
      <c r="L273" s="58" t="s">
        <v>2</v>
      </c>
      <c r="M273" s="58" t="s">
        <v>138</v>
      </c>
      <c r="N273" s="58" t="s">
        <v>4</v>
      </c>
      <c r="O273" s="58" t="s">
        <v>147</v>
      </c>
      <c r="P273" s="58" t="s">
        <v>4</v>
      </c>
      <c r="Q273" s="58" t="s">
        <v>147</v>
      </c>
      <c r="R273" s="50" t="s">
        <v>1163</v>
      </c>
      <c r="S273" s="51" t="s">
        <v>1163</v>
      </c>
      <c r="T273" s="58" t="s">
        <v>4</v>
      </c>
      <c r="U273" s="58" t="s">
        <v>147</v>
      </c>
      <c r="V273" s="58" t="s">
        <v>4</v>
      </c>
      <c r="W273" s="58" t="s">
        <v>147</v>
      </c>
      <c r="X273" s="61" t="s">
        <v>1163</v>
      </c>
      <c r="Y273" s="61" t="s">
        <v>1163</v>
      </c>
    </row>
    <row r="274" spans="1:25" x14ac:dyDescent="0.3">
      <c r="A274" s="11" t="s">
        <v>1286</v>
      </c>
      <c r="B274" s="12"/>
      <c r="C274" s="23" t="s">
        <v>315</v>
      </c>
      <c r="D274" s="23" t="s">
        <v>629</v>
      </c>
      <c r="E274" s="22" t="str">
        <f t="shared" ref="E274:E294" si="0">CONCATENATE(C274," ",D274)</f>
        <v>NAKHLA AYA</v>
      </c>
      <c r="F274" s="24">
        <v>46205</v>
      </c>
      <c r="G274" s="33" t="s">
        <v>1215</v>
      </c>
      <c r="H274" s="22" t="s">
        <v>1220</v>
      </c>
      <c r="I274" s="22" t="s">
        <v>5</v>
      </c>
      <c r="J274" s="22" t="s">
        <v>61</v>
      </c>
      <c r="K274" s="16" t="s">
        <v>39</v>
      </c>
      <c r="L274" s="58" t="s">
        <v>2</v>
      </c>
      <c r="M274" s="58" t="s">
        <v>138</v>
      </c>
      <c r="N274" s="58" t="s">
        <v>4</v>
      </c>
      <c r="O274" s="58" t="s">
        <v>147</v>
      </c>
      <c r="P274" s="58" t="s">
        <v>4</v>
      </c>
      <c r="Q274" s="58" t="s">
        <v>147</v>
      </c>
      <c r="R274" s="65" t="s">
        <v>2</v>
      </c>
      <c r="S274" s="65" t="s">
        <v>137</v>
      </c>
      <c r="T274" s="50" t="s">
        <v>1163</v>
      </c>
      <c r="U274" s="51" t="s">
        <v>1163</v>
      </c>
      <c r="V274" s="58" t="s">
        <v>4</v>
      </c>
      <c r="W274" s="58" t="s">
        <v>147</v>
      </c>
      <c r="X274" s="61" t="s">
        <v>1163</v>
      </c>
      <c r="Y274" s="61" t="s">
        <v>1163</v>
      </c>
    </row>
    <row r="275" spans="1:25" x14ac:dyDescent="0.3">
      <c r="A275" s="11" t="s">
        <v>1286</v>
      </c>
      <c r="B275" s="12"/>
      <c r="C275" s="23" t="s">
        <v>1221</v>
      </c>
      <c r="D275" s="23" t="s">
        <v>176</v>
      </c>
      <c r="E275" s="22" t="str">
        <f t="shared" si="0"/>
        <v>ANISSE MOHAMMED</v>
      </c>
      <c r="F275" s="24">
        <v>46205</v>
      </c>
      <c r="G275" s="33" t="s">
        <v>1215</v>
      </c>
      <c r="H275" s="22" t="s">
        <v>1222</v>
      </c>
      <c r="I275" s="22" t="s">
        <v>51</v>
      </c>
      <c r="J275" s="33" t="s">
        <v>216</v>
      </c>
      <c r="K275" s="16" t="s">
        <v>52</v>
      </c>
      <c r="L275" s="58" t="s">
        <v>2</v>
      </c>
      <c r="M275" s="58" t="s">
        <v>138</v>
      </c>
      <c r="N275" s="58" t="s">
        <v>4</v>
      </c>
      <c r="O275" s="58" t="s">
        <v>147</v>
      </c>
      <c r="P275" s="58" t="s">
        <v>2</v>
      </c>
      <c r="Q275" s="58" t="s">
        <v>137</v>
      </c>
      <c r="R275" s="50" t="s">
        <v>1163</v>
      </c>
      <c r="S275" s="51" t="s">
        <v>1163</v>
      </c>
      <c r="T275" s="58" t="s">
        <v>2</v>
      </c>
      <c r="U275" s="58" t="s">
        <v>137</v>
      </c>
      <c r="V275" s="58" t="s">
        <v>4</v>
      </c>
      <c r="W275" s="58" t="s">
        <v>147</v>
      </c>
      <c r="X275" s="61" t="s">
        <v>1163</v>
      </c>
      <c r="Y275" s="61" t="s">
        <v>1163</v>
      </c>
    </row>
    <row r="276" spans="1:25" x14ac:dyDescent="0.3">
      <c r="A276" s="11" t="s">
        <v>1286</v>
      </c>
      <c r="B276" s="12"/>
      <c r="C276" s="23" t="s">
        <v>1223</v>
      </c>
      <c r="D276" s="23" t="s">
        <v>1211</v>
      </c>
      <c r="E276" s="22" t="str">
        <f t="shared" si="0"/>
        <v>HAJIM YASSINE</v>
      </c>
      <c r="F276" s="24">
        <v>46205</v>
      </c>
      <c r="G276" s="33" t="s">
        <v>1215</v>
      </c>
      <c r="H276" s="22" t="s">
        <v>1224</v>
      </c>
      <c r="I276" s="22" t="s">
        <v>7</v>
      </c>
      <c r="J276" s="22" t="s">
        <v>1225</v>
      </c>
      <c r="K276" s="16" t="s">
        <v>63</v>
      </c>
      <c r="L276" s="58" t="s">
        <v>2</v>
      </c>
      <c r="M276" s="58" t="s">
        <v>138</v>
      </c>
      <c r="N276" s="58" t="s">
        <v>4</v>
      </c>
      <c r="O276" s="58" t="s">
        <v>147</v>
      </c>
      <c r="P276" s="58" t="s">
        <v>2</v>
      </c>
      <c r="Q276" s="58" t="s">
        <v>137</v>
      </c>
      <c r="R276" s="58" t="s">
        <v>2</v>
      </c>
      <c r="S276" s="58" t="s">
        <v>137</v>
      </c>
      <c r="T276" s="58" t="s">
        <v>2</v>
      </c>
      <c r="U276" s="58" t="s">
        <v>137</v>
      </c>
      <c r="V276" s="50" t="s">
        <v>1163</v>
      </c>
      <c r="W276" s="51" t="s">
        <v>1163</v>
      </c>
      <c r="X276" s="61" t="s">
        <v>1163</v>
      </c>
      <c r="Y276" s="61" t="s">
        <v>1163</v>
      </c>
    </row>
    <row r="277" spans="1:25" x14ac:dyDescent="0.3">
      <c r="A277" s="11" t="s">
        <v>1286</v>
      </c>
      <c r="B277" s="12"/>
      <c r="C277" s="23" t="s">
        <v>1226</v>
      </c>
      <c r="D277" s="23" t="s">
        <v>1227</v>
      </c>
      <c r="E277" s="22" t="str">
        <f t="shared" si="0"/>
        <v>EL ALAMI AYMAN</v>
      </c>
      <c r="F277" s="24">
        <v>46205</v>
      </c>
      <c r="G277" s="33" t="s">
        <v>1215</v>
      </c>
      <c r="H277" s="22" t="s">
        <v>1228</v>
      </c>
      <c r="I277" s="22" t="s">
        <v>51</v>
      </c>
      <c r="J277" s="22" t="s">
        <v>320</v>
      </c>
      <c r="K277" s="16" t="s">
        <v>52</v>
      </c>
      <c r="L277" s="58" t="s">
        <v>2</v>
      </c>
      <c r="M277" s="58" t="s">
        <v>138</v>
      </c>
      <c r="N277" s="58" t="s">
        <v>4</v>
      </c>
      <c r="O277" s="58" t="s">
        <v>147</v>
      </c>
      <c r="P277" s="58" t="s">
        <v>2</v>
      </c>
      <c r="Q277" s="58" t="s">
        <v>137</v>
      </c>
      <c r="R277" s="65" t="s">
        <v>4</v>
      </c>
      <c r="S277" s="65" t="s">
        <v>147</v>
      </c>
      <c r="T277" s="50" t="s">
        <v>1163</v>
      </c>
      <c r="U277" s="51" t="s">
        <v>1163</v>
      </c>
      <c r="V277" s="58" t="s">
        <v>2</v>
      </c>
      <c r="W277" s="58" t="s">
        <v>137</v>
      </c>
      <c r="X277" s="61" t="s">
        <v>1163</v>
      </c>
      <c r="Y277" s="61" t="s">
        <v>1163</v>
      </c>
    </row>
    <row r="278" spans="1:25" x14ac:dyDescent="0.3">
      <c r="A278" s="11" t="s">
        <v>1286</v>
      </c>
      <c r="B278" s="12"/>
      <c r="C278" s="23" t="s">
        <v>1229</v>
      </c>
      <c r="D278" s="23" t="s">
        <v>701</v>
      </c>
      <c r="E278" s="22" t="str">
        <f t="shared" si="0"/>
        <v>BOUCHARA IMANE</v>
      </c>
      <c r="F278" s="24">
        <v>46205</v>
      </c>
      <c r="G278" s="33" t="s">
        <v>1215</v>
      </c>
      <c r="H278" s="22" t="s">
        <v>1230</v>
      </c>
      <c r="I278" s="22" t="s">
        <v>51</v>
      </c>
      <c r="J278" s="22" t="s">
        <v>1231</v>
      </c>
      <c r="K278" s="16" t="s">
        <v>52</v>
      </c>
      <c r="L278" s="58" t="s">
        <v>2</v>
      </c>
      <c r="M278" s="58" t="s">
        <v>138</v>
      </c>
      <c r="N278" s="58" t="s">
        <v>4</v>
      </c>
      <c r="O278" s="58" t="s">
        <v>147</v>
      </c>
      <c r="P278" s="58" t="s">
        <v>2</v>
      </c>
      <c r="Q278" s="58" t="s">
        <v>137</v>
      </c>
      <c r="R278" s="58" t="s">
        <v>2</v>
      </c>
      <c r="S278" s="58" t="s">
        <v>137</v>
      </c>
      <c r="T278" s="50" t="s">
        <v>1163</v>
      </c>
      <c r="U278" s="51" t="s">
        <v>1163</v>
      </c>
      <c r="V278" s="58" t="s">
        <v>2</v>
      </c>
      <c r="W278" s="58" t="s">
        <v>137</v>
      </c>
      <c r="X278" s="61" t="s">
        <v>1163</v>
      </c>
      <c r="Y278" s="61" t="s">
        <v>1163</v>
      </c>
    </row>
    <row r="279" spans="1:25" x14ac:dyDescent="0.3">
      <c r="A279" s="11" t="s">
        <v>1286</v>
      </c>
      <c r="B279" s="12"/>
      <c r="C279" s="23" t="s">
        <v>1232</v>
      </c>
      <c r="D279" s="23" t="s">
        <v>253</v>
      </c>
      <c r="E279" s="22" t="str">
        <f t="shared" si="0"/>
        <v>LYACOUBI HOUDA</v>
      </c>
      <c r="F279" s="24">
        <v>46205</v>
      </c>
      <c r="G279" s="33" t="s">
        <v>1215</v>
      </c>
      <c r="H279" s="22" t="s">
        <v>1233</v>
      </c>
      <c r="I279" s="22" t="s">
        <v>51</v>
      </c>
      <c r="J279" s="22" t="s">
        <v>127</v>
      </c>
      <c r="K279" s="16" t="s">
        <v>52</v>
      </c>
      <c r="L279" s="58" t="s">
        <v>2</v>
      </c>
      <c r="M279" s="58" t="s">
        <v>138</v>
      </c>
      <c r="N279" s="58" t="s">
        <v>4</v>
      </c>
      <c r="O279" s="58" t="s">
        <v>147</v>
      </c>
      <c r="P279" s="58" t="s">
        <v>2</v>
      </c>
      <c r="Q279" s="58" t="s">
        <v>137</v>
      </c>
      <c r="R279" s="58" t="s">
        <v>2</v>
      </c>
      <c r="S279" s="58" t="s">
        <v>137</v>
      </c>
      <c r="T279" s="50" t="s">
        <v>1163</v>
      </c>
      <c r="U279" s="51" t="s">
        <v>1163</v>
      </c>
      <c r="V279" s="58" t="s">
        <v>2</v>
      </c>
      <c r="W279" s="58" t="s">
        <v>137</v>
      </c>
      <c r="X279" s="61" t="s">
        <v>1163</v>
      </c>
      <c r="Y279" s="61" t="s">
        <v>1163</v>
      </c>
    </row>
    <row r="280" spans="1:25" x14ac:dyDescent="0.3">
      <c r="A280" s="11" t="s">
        <v>1286</v>
      </c>
      <c r="B280" s="12"/>
      <c r="C280" s="23" t="s">
        <v>1234</v>
      </c>
      <c r="D280" s="23" t="s">
        <v>1235</v>
      </c>
      <c r="E280" s="22" t="str">
        <f t="shared" si="0"/>
        <v>KINANA WIDAD</v>
      </c>
      <c r="F280" s="24">
        <v>46205</v>
      </c>
      <c r="G280" s="33" t="s">
        <v>1215</v>
      </c>
      <c r="H280" s="22" t="s">
        <v>1236</v>
      </c>
      <c r="I280" s="22" t="s">
        <v>51</v>
      </c>
      <c r="J280" s="22" t="s">
        <v>216</v>
      </c>
      <c r="K280" s="16" t="s">
        <v>52</v>
      </c>
      <c r="L280" s="58" t="s">
        <v>2</v>
      </c>
      <c r="M280" s="58" t="s">
        <v>138</v>
      </c>
      <c r="N280" s="58" t="s">
        <v>4</v>
      </c>
      <c r="O280" s="58" t="s">
        <v>147</v>
      </c>
      <c r="P280" s="58" t="s">
        <v>2</v>
      </c>
      <c r="Q280" s="58" t="s">
        <v>137</v>
      </c>
      <c r="R280" s="58" t="s">
        <v>2</v>
      </c>
      <c r="S280" s="58" t="s">
        <v>137</v>
      </c>
      <c r="T280" s="50" t="s">
        <v>1163</v>
      </c>
      <c r="U280" s="51" t="s">
        <v>1163</v>
      </c>
      <c r="V280" s="58" t="s">
        <v>2</v>
      </c>
      <c r="W280" s="58" t="s">
        <v>137</v>
      </c>
      <c r="X280" s="61" t="s">
        <v>1163</v>
      </c>
      <c r="Y280" s="61" t="s">
        <v>1163</v>
      </c>
    </row>
    <row r="281" spans="1:25" x14ac:dyDescent="0.3">
      <c r="A281" s="11" t="s">
        <v>1286</v>
      </c>
      <c r="B281" s="12"/>
      <c r="C281" s="23" t="s">
        <v>1237</v>
      </c>
      <c r="D281" s="23" t="s">
        <v>396</v>
      </c>
      <c r="E281" s="22" t="str">
        <f t="shared" si="0"/>
        <v>CHOUKRI LOUBNA</v>
      </c>
      <c r="F281" s="24">
        <v>46205</v>
      </c>
      <c r="G281" s="33" t="s">
        <v>1215</v>
      </c>
      <c r="H281" s="22" t="s">
        <v>1238</v>
      </c>
      <c r="I281" s="22" t="s">
        <v>51</v>
      </c>
      <c r="J281" s="22" t="s">
        <v>1239</v>
      </c>
      <c r="K281" s="16" t="s">
        <v>57</v>
      </c>
      <c r="L281" s="58" t="s">
        <v>2</v>
      </c>
      <c r="M281" s="58" t="s">
        <v>138</v>
      </c>
      <c r="N281" s="58" t="s">
        <v>4</v>
      </c>
      <c r="O281" s="58" t="s">
        <v>147</v>
      </c>
      <c r="P281" s="58" t="s">
        <v>2</v>
      </c>
      <c r="Q281" s="58" t="s">
        <v>137</v>
      </c>
      <c r="R281" s="65" t="s">
        <v>4</v>
      </c>
      <c r="S281" s="65" t="s">
        <v>147</v>
      </c>
      <c r="T281" s="58" t="s">
        <v>2</v>
      </c>
      <c r="U281" s="58" t="s">
        <v>137</v>
      </c>
      <c r="V281" s="50" t="s">
        <v>1163</v>
      </c>
      <c r="W281" s="51" t="s">
        <v>1163</v>
      </c>
      <c r="X281" s="61" t="s">
        <v>1163</v>
      </c>
      <c r="Y281" s="61" t="s">
        <v>1163</v>
      </c>
    </row>
    <row r="282" spans="1:25" x14ac:dyDescent="0.3">
      <c r="A282" s="11" t="s">
        <v>1286</v>
      </c>
      <c r="B282" s="12"/>
      <c r="C282" s="23" t="s">
        <v>1240</v>
      </c>
      <c r="D282" s="23" t="s">
        <v>1241</v>
      </c>
      <c r="E282" s="22" t="str">
        <f t="shared" si="0"/>
        <v xml:space="preserve">CHAFI  SARA </v>
      </c>
      <c r="F282" s="24">
        <v>46205</v>
      </c>
      <c r="G282" s="33" t="s">
        <v>1215</v>
      </c>
      <c r="H282" s="22" t="s">
        <v>1242</v>
      </c>
      <c r="I282" s="22" t="s">
        <v>51</v>
      </c>
      <c r="J282" s="22" t="s">
        <v>117</v>
      </c>
      <c r="K282" s="16" t="s">
        <v>142</v>
      </c>
      <c r="L282" s="58" t="s">
        <v>2</v>
      </c>
      <c r="M282" s="58" t="s">
        <v>138</v>
      </c>
      <c r="N282" s="58" t="s">
        <v>4</v>
      </c>
      <c r="O282" s="58" t="s">
        <v>147</v>
      </c>
      <c r="P282" s="58" t="s">
        <v>2</v>
      </c>
      <c r="Q282" s="58" t="s">
        <v>137</v>
      </c>
      <c r="R282" s="58" t="s">
        <v>4</v>
      </c>
      <c r="S282" s="58" t="s">
        <v>147</v>
      </c>
      <c r="T282" s="58" t="s">
        <v>2</v>
      </c>
      <c r="U282" s="58" t="s">
        <v>137</v>
      </c>
      <c r="V282" s="50" t="s">
        <v>1163</v>
      </c>
      <c r="W282" s="51" t="s">
        <v>1163</v>
      </c>
      <c r="X282" s="61" t="s">
        <v>1163</v>
      </c>
      <c r="Y282" s="61" t="s">
        <v>1163</v>
      </c>
    </row>
    <row r="283" spans="1:25" x14ac:dyDescent="0.3">
      <c r="A283" s="11" t="s">
        <v>1286</v>
      </c>
      <c r="B283" s="12"/>
      <c r="C283" s="23" t="s">
        <v>1243</v>
      </c>
      <c r="D283" s="23" t="s">
        <v>629</v>
      </c>
      <c r="E283" s="22" t="str">
        <f t="shared" si="0"/>
        <v>BARTOUT AYA</v>
      </c>
      <c r="F283" s="24">
        <v>46205</v>
      </c>
      <c r="G283" s="33" t="s">
        <v>1215</v>
      </c>
      <c r="H283" s="22" t="s">
        <v>1244</v>
      </c>
      <c r="I283" s="22" t="s">
        <v>5</v>
      </c>
      <c r="J283" s="22" t="s">
        <v>1272</v>
      </c>
      <c r="K283" s="16" t="s">
        <v>50</v>
      </c>
      <c r="L283" s="58" t="s">
        <v>2</v>
      </c>
      <c r="M283" s="58" t="s">
        <v>138</v>
      </c>
      <c r="N283" s="58" t="s">
        <v>4</v>
      </c>
      <c r="O283" s="58" t="s">
        <v>147</v>
      </c>
      <c r="P283" s="58" t="s">
        <v>4</v>
      </c>
      <c r="Q283" s="58" t="s">
        <v>147</v>
      </c>
      <c r="R283" s="50" t="s">
        <v>1163</v>
      </c>
      <c r="S283" s="51" t="s">
        <v>1163</v>
      </c>
      <c r="T283" s="58" t="s">
        <v>4</v>
      </c>
      <c r="U283" s="58" t="s">
        <v>147</v>
      </c>
      <c r="V283" s="50" t="s">
        <v>4</v>
      </c>
      <c r="W283" s="51" t="s">
        <v>147</v>
      </c>
      <c r="X283" s="61" t="s">
        <v>1163</v>
      </c>
      <c r="Y283" s="61" t="s">
        <v>1163</v>
      </c>
    </row>
    <row r="284" spans="1:25" x14ac:dyDescent="0.3">
      <c r="A284" s="11" t="s">
        <v>1286</v>
      </c>
      <c r="B284" s="12"/>
      <c r="C284" s="23" t="s">
        <v>1245</v>
      </c>
      <c r="D284" s="23" t="s">
        <v>1214</v>
      </c>
      <c r="E284" s="22" t="str">
        <f t="shared" si="0"/>
        <v>ATIR RIM</v>
      </c>
      <c r="F284" s="24">
        <v>46205</v>
      </c>
      <c r="G284" s="33" t="s">
        <v>1215</v>
      </c>
      <c r="H284" s="22" t="s">
        <v>1246</v>
      </c>
      <c r="I284" s="22" t="s">
        <v>6</v>
      </c>
      <c r="J284" s="22" t="s">
        <v>1247</v>
      </c>
      <c r="K284" s="16" t="s">
        <v>62</v>
      </c>
      <c r="L284" s="58" t="s">
        <v>2</v>
      </c>
      <c r="M284" s="58" t="s">
        <v>138</v>
      </c>
      <c r="N284" s="58" t="s">
        <v>4</v>
      </c>
      <c r="O284" s="58" t="s">
        <v>147</v>
      </c>
      <c r="P284" s="58" t="s">
        <v>2</v>
      </c>
      <c r="Q284" s="58" t="s">
        <v>137</v>
      </c>
      <c r="R284" s="58" t="s">
        <v>2</v>
      </c>
      <c r="S284" s="58" t="s">
        <v>137</v>
      </c>
      <c r="T284" s="58" t="s">
        <v>2</v>
      </c>
      <c r="U284" s="58" t="s">
        <v>137</v>
      </c>
      <c r="V284" s="50" t="s">
        <v>1163</v>
      </c>
      <c r="W284" s="51" t="s">
        <v>1163</v>
      </c>
      <c r="X284" s="61" t="s">
        <v>1163</v>
      </c>
      <c r="Y284" s="61" t="s">
        <v>1163</v>
      </c>
    </row>
    <row r="285" spans="1:25" x14ac:dyDescent="0.3">
      <c r="A285" s="11" t="s">
        <v>1286</v>
      </c>
      <c r="B285" s="12"/>
      <c r="C285" s="23" t="s">
        <v>1248</v>
      </c>
      <c r="D285" s="23" t="s">
        <v>229</v>
      </c>
      <c r="E285" s="22" t="str">
        <f t="shared" si="0"/>
        <v>EL-ANAZI AMAL</v>
      </c>
      <c r="F285" s="24">
        <v>46205</v>
      </c>
      <c r="G285" s="33" t="s">
        <v>1215</v>
      </c>
      <c r="H285" s="22" t="s">
        <v>1249</v>
      </c>
      <c r="I285" s="22" t="s">
        <v>59</v>
      </c>
      <c r="J285" s="22" t="s">
        <v>913</v>
      </c>
      <c r="K285" s="16" t="s">
        <v>57</v>
      </c>
      <c r="L285" s="58" t="s">
        <v>2</v>
      </c>
      <c r="M285" s="58" t="s">
        <v>138</v>
      </c>
      <c r="N285" s="58" t="s">
        <v>4</v>
      </c>
      <c r="O285" s="58" t="s">
        <v>147</v>
      </c>
      <c r="P285" s="58" t="s">
        <v>2</v>
      </c>
      <c r="Q285" s="58" t="s">
        <v>137</v>
      </c>
      <c r="R285" s="58" t="s">
        <v>2</v>
      </c>
      <c r="S285" s="58" t="s">
        <v>137</v>
      </c>
      <c r="T285" s="58" t="s">
        <v>2</v>
      </c>
      <c r="U285" s="58" t="s">
        <v>137</v>
      </c>
      <c r="V285" s="50" t="s">
        <v>1163</v>
      </c>
      <c r="W285" s="51" t="s">
        <v>1163</v>
      </c>
      <c r="X285" s="61" t="s">
        <v>1163</v>
      </c>
      <c r="Y285" s="61" t="s">
        <v>1163</v>
      </c>
    </row>
    <row r="286" spans="1:25" x14ac:dyDescent="0.3">
      <c r="A286" s="11" t="s">
        <v>1286</v>
      </c>
      <c r="B286" s="12"/>
      <c r="C286" s="23" t="s">
        <v>1250</v>
      </c>
      <c r="D286" s="23" t="s">
        <v>1251</v>
      </c>
      <c r="E286" s="22" t="str">
        <f t="shared" si="0"/>
        <v>YOUSFI HIYAM</v>
      </c>
      <c r="F286" s="24">
        <v>46205</v>
      </c>
      <c r="G286" s="33" t="s">
        <v>1215</v>
      </c>
      <c r="H286" s="22" t="s">
        <v>1252</v>
      </c>
      <c r="I286" s="22" t="s">
        <v>51</v>
      </c>
      <c r="J286" s="22" t="s">
        <v>1253</v>
      </c>
      <c r="K286" s="16" t="s">
        <v>57</v>
      </c>
      <c r="L286" s="58" t="s">
        <v>2</v>
      </c>
      <c r="M286" s="58" t="s">
        <v>138</v>
      </c>
      <c r="N286" s="58" t="s">
        <v>4</v>
      </c>
      <c r="O286" s="58" t="s">
        <v>147</v>
      </c>
      <c r="P286" s="58" t="s">
        <v>3</v>
      </c>
      <c r="Q286" s="58" t="s">
        <v>139</v>
      </c>
      <c r="R286" s="58" t="s">
        <v>4</v>
      </c>
      <c r="S286" s="58" t="s">
        <v>147</v>
      </c>
      <c r="T286" s="58" t="s">
        <v>3</v>
      </c>
      <c r="U286" s="58" t="s">
        <v>139</v>
      </c>
      <c r="V286" s="58" t="s">
        <v>1163</v>
      </c>
      <c r="W286" s="58" t="s">
        <v>1163</v>
      </c>
      <c r="X286" s="61" t="s">
        <v>1163</v>
      </c>
      <c r="Y286" s="61" t="s">
        <v>1163</v>
      </c>
    </row>
    <row r="287" spans="1:25" x14ac:dyDescent="0.3">
      <c r="A287" s="11" t="s">
        <v>1286</v>
      </c>
      <c r="B287" s="12"/>
      <c r="C287" s="23" t="s">
        <v>1254</v>
      </c>
      <c r="D287" s="23" t="s">
        <v>1255</v>
      </c>
      <c r="E287" s="22" t="str">
        <f t="shared" si="0"/>
        <v>BARNASSO HAMZA</v>
      </c>
      <c r="F287" s="24">
        <v>46205</v>
      </c>
      <c r="G287" s="33" t="s">
        <v>1215</v>
      </c>
      <c r="H287" s="22" t="s">
        <v>1256</v>
      </c>
      <c r="I287" s="22" t="s">
        <v>51</v>
      </c>
      <c r="J287" s="33" t="s">
        <v>72</v>
      </c>
      <c r="K287" s="16" t="s">
        <v>142</v>
      </c>
      <c r="L287" s="58" t="s">
        <v>2</v>
      </c>
      <c r="M287" s="58" t="s">
        <v>138</v>
      </c>
      <c r="N287" s="58" t="s">
        <v>4</v>
      </c>
      <c r="O287" s="58" t="s">
        <v>147</v>
      </c>
      <c r="P287" s="58" t="s">
        <v>3</v>
      </c>
      <c r="Q287" s="58" t="s">
        <v>139</v>
      </c>
      <c r="R287" s="58" t="s">
        <v>4</v>
      </c>
      <c r="S287" s="58" t="s">
        <v>147</v>
      </c>
      <c r="T287" s="58" t="s">
        <v>1163</v>
      </c>
      <c r="U287" s="58" t="s">
        <v>1163</v>
      </c>
      <c r="V287" s="58" t="s">
        <v>2</v>
      </c>
      <c r="W287" s="58" t="s">
        <v>137</v>
      </c>
      <c r="X287" s="61" t="s">
        <v>1163</v>
      </c>
      <c r="Y287" s="61" t="s">
        <v>1163</v>
      </c>
    </row>
    <row r="288" spans="1:25" x14ac:dyDescent="0.3">
      <c r="A288" s="11" t="s">
        <v>1286</v>
      </c>
      <c r="B288" s="12"/>
      <c r="C288" s="23" t="s">
        <v>1257</v>
      </c>
      <c r="D288" s="23" t="s">
        <v>58</v>
      </c>
      <c r="E288" s="22" t="str">
        <f t="shared" si="0"/>
        <v>MOULINE SALMA</v>
      </c>
      <c r="F288" s="24">
        <v>46205</v>
      </c>
      <c r="G288" s="33" t="s">
        <v>1215</v>
      </c>
      <c r="H288" s="22" t="s">
        <v>1258</v>
      </c>
      <c r="I288" s="22" t="s">
        <v>51</v>
      </c>
      <c r="J288" s="34" t="s">
        <v>90</v>
      </c>
      <c r="K288" s="16" t="s">
        <v>52</v>
      </c>
      <c r="L288" s="58" t="s">
        <v>2</v>
      </c>
      <c r="M288" s="58" t="s">
        <v>138</v>
      </c>
      <c r="N288" s="58" t="s">
        <v>4</v>
      </c>
      <c r="O288" s="58" t="s">
        <v>147</v>
      </c>
      <c r="P288" s="58" t="s">
        <v>3</v>
      </c>
      <c r="Q288" s="58" t="s">
        <v>139</v>
      </c>
      <c r="R288" s="58" t="s">
        <v>1163</v>
      </c>
      <c r="S288" s="58" t="s">
        <v>1163</v>
      </c>
      <c r="T288" s="58" t="s">
        <v>3</v>
      </c>
      <c r="U288" s="58" t="s">
        <v>139</v>
      </c>
      <c r="V288" s="58" t="s">
        <v>2</v>
      </c>
      <c r="W288" s="58" t="s">
        <v>137</v>
      </c>
      <c r="X288" s="61" t="s">
        <v>1163</v>
      </c>
      <c r="Y288" s="61" t="s">
        <v>1163</v>
      </c>
    </row>
    <row r="289" spans="1:25" x14ac:dyDescent="0.3">
      <c r="A289" s="11" t="s">
        <v>1286</v>
      </c>
      <c r="B289" s="12"/>
      <c r="C289" s="23" t="s">
        <v>1260</v>
      </c>
      <c r="D289" s="23" t="s">
        <v>58</v>
      </c>
      <c r="E289" s="22" t="str">
        <f t="shared" si="0"/>
        <v>ERBATI SALMA</v>
      </c>
      <c r="F289" s="24">
        <v>46205</v>
      </c>
      <c r="G289" s="33" t="s">
        <v>1215</v>
      </c>
      <c r="H289" s="22" t="s">
        <v>1261</v>
      </c>
      <c r="I289" s="22" t="s">
        <v>51</v>
      </c>
      <c r="J289" s="22" t="s">
        <v>1262</v>
      </c>
      <c r="K289" s="16" t="s">
        <v>52</v>
      </c>
      <c r="L289" s="58" t="s">
        <v>2</v>
      </c>
      <c r="M289" s="58" t="s">
        <v>138</v>
      </c>
      <c r="N289" s="58" t="s">
        <v>4</v>
      </c>
      <c r="O289" s="58" t="s">
        <v>147</v>
      </c>
      <c r="P289" s="58" t="s">
        <v>3</v>
      </c>
      <c r="Q289" s="58" t="s">
        <v>139</v>
      </c>
      <c r="R289" s="65" t="s">
        <v>4</v>
      </c>
      <c r="S289" s="65" t="s">
        <v>147</v>
      </c>
      <c r="T289" s="58" t="s">
        <v>1163</v>
      </c>
      <c r="U289" s="58" t="s">
        <v>1163</v>
      </c>
      <c r="V289" s="58" t="s">
        <v>2</v>
      </c>
      <c r="W289" s="58" t="s">
        <v>137</v>
      </c>
      <c r="X289" s="61" t="s">
        <v>1163</v>
      </c>
      <c r="Y289" s="61" t="s">
        <v>1163</v>
      </c>
    </row>
    <row r="290" spans="1:25" x14ac:dyDescent="0.3">
      <c r="A290" s="11" t="s">
        <v>1286</v>
      </c>
      <c r="B290" s="12"/>
      <c r="C290" s="23" t="s">
        <v>1259</v>
      </c>
      <c r="D290" s="23" t="s">
        <v>492</v>
      </c>
      <c r="E290" s="22" t="str">
        <f t="shared" si="0"/>
        <v>AJMILA MOUNA</v>
      </c>
      <c r="F290" s="24">
        <v>46205</v>
      </c>
      <c r="G290" s="33" t="s">
        <v>1215</v>
      </c>
      <c r="H290" s="22" t="s">
        <v>1263</v>
      </c>
      <c r="I290" s="22" t="s">
        <v>5</v>
      </c>
      <c r="J290" s="33" t="s">
        <v>1272</v>
      </c>
      <c r="K290" s="16" t="s">
        <v>50</v>
      </c>
      <c r="L290" s="58" t="s">
        <v>2</v>
      </c>
      <c r="M290" s="58" t="s">
        <v>138</v>
      </c>
      <c r="N290" s="58" t="s">
        <v>4</v>
      </c>
      <c r="O290" s="58" t="s">
        <v>147</v>
      </c>
      <c r="P290" s="58" t="s">
        <v>4</v>
      </c>
      <c r="Q290" s="58" t="s">
        <v>147</v>
      </c>
      <c r="R290" s="65" t="s">
        <v>2</v>
      </c>
      <c r="S290" s="65" t="s">
        <v>137</v>
      </c>
      <c r="T290" s="58" t="s">
        <v>4</v>
      </c>
      <c r="U290" s="58" t="s">
        <v>147</v>
      </c>
      <c r="V290" s="58" t="s">
        <v>1163</v>
      </c>
      <c r="W290" s="58" t="s">
        <v>1163</v>
      </c>
      <c r="X290" s="61" t="s">
        <v>1163</v>
      </c>
      <c r="Y290" s="61" t="s">
        <v>1163</v>
      </c>
    </row>
    <row r="291" spans="1:25" x14ac:dyDescent="0.3">
      <c r="A291" s="11" t="s">
        <v>1286</v>
      </c>
      <c r="B291" s="12"/>
      <c r="C291" s="23" t="s">
        <v>1264</v>
      </c>
      <c r="D291" s="23" t="s">
        <v>1265</v>
      </c>
      <c r="E291" s="22" t="str">
        <f t="shared" si="0"/>
        <v>BENMESSAOUD ISRAE</v>
      </c>
      <c r="F291" s="24">
        <v>46205</v>
      </c>
      <c r="G291" s="33" t="s">
        <v>1215</v>
      </c>
      <c r="H291" s="22" t="s">
        <v>1266</v>
      </c>
      <c r="I291" s="22" t="s">
        <v>51</v>
      </c>
      <c r="J291" s="33" t="s">
        <v>1271</v>
      </c>
      <c r="K291" s="16" t="s">
        <v>52</v>
      </c>
      <c r="L291" s="58" t="s">
        <v>2</v>
      </c>
      <c r="M291" s="58" t="s">
        <v>138</v>
      </c>
      <c r="N291" s="58" t="s">
        <v>4</v>
      </c>
      <c r="O291" s="58" t="s">
        <v>147</v>
      </c>
      <c r="P291" s="58" t="s">
        <v>3</v>
      </c>
      <c r="Q291" s="58" t="s">
        <v>139</v>
      </c>
      <c r="R291" s="65" t="s">
        <v>4</v>
      </c>
      <c r="S291" s="65" t="s">
        <v>147</v>
      </c>
      <c r="T291" s="58" t="s">
        <v>1163</v>
      </c>
      <c r="U291" s="58" t="s">
        <v>1163</v>
      </c>
      <c r="V291" s="58" t="s">
        <v>2</v>
      </c>
      <c r="W291" s="58" t="s">
        <v>137</v>
      </c>
      <c r="X291" s="61" t="s">
        <v>1163</v>
      </c>
      <c r="Y291" s="61" t="s">
        <v>1163</v>
      </c>
    </row>
    <row r="292" spans="1:25" x14ac:dyDescent="0.3">
      <c r="A292" s="11" t="s">
        <v>1286</v>
      </c>
      <c r="B292" s="12"/>
      <c r="C292" s="23" t="s">
        <v>1267</v>
      </c>
      <c r="D292" s="23" t="s">
        <v>1268</v>
      </c>
      <c r="E292" s="22" t="str">
        <f t="shared" si="0"/>
        <v>ZOHRI RANA</v>
      </c>
      <c r="F292" s="24">
        <v>46205</v>
      </c>
      <c r="G292" s="33" t="s">
        <v>1215</v>
      </c>
      <c r="H292" s="22" t="s">
        <v>1269</v>
      </c>
      <c r="I292" s="22" t="s">
        <v>6</v>
      </c>
      <c r="J292" s="22" t="s">
        <v>1270</v>
      </c>
      <c r="K292" s="16" t="s">
        <v>62</v>
      </c>
      <c r="L292" s="58" t="s">
        <v>2</v>
      </c>
      <c r="M292" s="58" t="s">
        <v>138</v>
      </c>
      <c r="N292" s="58" t="s">
        <v>4</v>
      </c>
      <c r="O292" s="58" t="s">
        <v>147</v>
      </c>
      <c r="P292" s="65" t="s">
        <v>2</v>
      </c>
      <c r="Q292" s="65" t="s">
        <v>137</v>
      </c>
      <c r="R292" s="65" t="s">
        <v>2</v>
      </c>
      <c r="S292" s="65" t="s">
        <v>137</v>
      </c>
      <c r="T292" s="65" t="s">
        <v>2</v>
      </c>
      <c r="U292" s="65" t="s">
        <v>137</v>
      </c>
      <c r="V292" s="58" t="s">
        <v>1163</v>
      </c>
      <c r="W292" s="58" t="s">
        <v>1163</v>
      </c>
      <c r="X292" s="61" t="s">
        <v>1163</v>
      </c>
      <c r="Y292" s="61" t="s">
        <v>1163</v>
      </c>
    </row>
    <row r="293" spans="1:25" ht="14.4" customHeight="1" x14ac:dyDescent="0.3">
      <c r="A293" s="11" t="s">
        <v>1286</v>
      </c>
      <c r="B293" s="12"/>
      <c r="C293" s="23" t="s">
        <v>1273</v>
      </c>
      <c r="D293" s="23" t="s">
        <v>1274</v>
      </c>
      <c r="E293" s="22" t="str">
        <f t="shared" si="0"/>
        <v>ENNOUR AYDA</v>
      </c>
      <c r="F293" s="24">
        <v>46205</v>
      </c>
      <c r="G293" s="33" t="s">
        <v>1215</v>
      </c>
      <c r="H293" s="22" t="s">
        <v>1275</v>
      </c>
      <c r="I293" s="22" t="s">
        <v>5</v>
      </c>
      <c r="J293" s="33" t="s">
        <v>1279</v>
      </c>
      <c r="K293" s="16" t="s">
        <v>39</v>
      </c>
      <c r="L293" s="58" t="s">
        <v>2</v>
      </c>
      <c r="M293" s="58" t="s">
        <v>138</v>
      </c>
      <c r="N293" s="58" t="s">
        <v>4</v>
      </c>
      <c r="O293" s="58" t="s">
        <v>147</v>
      </c>
      <c r="P293" s="58" t="s">
        <v>4</v>
      </c>
      <c r="Q293" s="58" t="s">
        <v>147</v>
      </c>
      <c r="R293" s="58" t="s">
        <v>1163</v>
      </c>
      <c r="S293" s="58" t="s">
        <v>1163</v>
      </c>
      <c r="T293" s="58" t="s">
        <v>4</v>
      </c>
      <c r="U293" s="58" t="s">
        <v>147</v>
      </c>
      <c r="V293" s="58" t="s">
        <v>4</v>
      </c>
      <c r="W293" s="58" t="s">
        <v>147</v>
      </c>
      <c r="X293" s="61" t="s">
        <v>1163</v>
      </c>
      <c r="Y293" s="61" t="s">
        <v>1163</v>
      </c>
    </row>
    <row r="294" spans="1:25" x14ac:dyDescent="0.3">
      <c r="A294" s="11" t="s">
        <v>1286</v>
      </c>
      <c r="B294" s="12"/>
      <c r="C294" s="23" t="s">
        <v>1276</v>
      </c>
      <c r="D294" s="23" t="s">
        <v>1277</v>
      </c>
      <c r="E294" s="22" t="str">
        <f t="shared" si="0"/>
        <v>ABILLAT ALAE</v>
      </c>
      <c r="F294" s="24">
        <v>46205</v>
      </c>
      <c r="G294" s="33" t="s">
        <v>1215</v>
      </c>
      <c r="H294" s="22" t="s">
        <v>1278</v>
      </c>
      <c r="I294" s="22" t="s">
        <v>5</v>
      </c>
      <c r="J294" s="64" t="s">
        <v>1287</v>
      </c>
      <c r="K294" s="16" t="s">
        <v>39</v>
      </c>
      <c r="L294" s="58" t="s">
        <v>2</v>
      </c>
      <c r="M294" s="58" t="s">
        <v>138</v>
      </c>
      <c r="N294" s="58" t="s">
        <v>4</v>
      </c>
      <c r="O294" s="58" t="s">
        <v>147</v>
      </c>
      <c r="P294" s="58" t="s">
        <v>4</v>
      </c>
      <c r="Q294" s="58" t="s">
        <v>147</v>
      </c>
      <c r="R294" s="58" t="s">
        <v>1163</v>
      </c>
      <c r="S294" s="58" t="s">
        <v>1163</v>
      </c>
      <c r="T294" s="58" t="s">
        <v>4</v>
      </c>
      <c r="U294" s="58" t="s">
        <v>147</v>
      </c>
      <c r="V294" s="58" t="s">
        <v>4</v>
      </c>
      <c r="W294" s="58" t="s">
        <v>147</v>
      </c>
      <c r="X294" s="61" t="s">
        <v>1163</v>
      </c>
      <c r="Y294" s="61" t="s">
        <v>1163</v>
      </c>
    </row>
    <row r="295" spans="1:25" x14ac:dyDescent="0.3">
      <c r="A295" s="11" t="s">
        <v>1286</v>
      </c>
      <c r="B295" s="12"/>
      <c r="C295" s="23" t="s">
        <v>1281</v>
      </c>
      <c r="D295" s="23" t="s">
        <v>1280</v>
      </c>
      <c r="E295" s="22" t="str">
        <f t="shared" ref="E295:E296" si="1">CONCATENATE(C295," ",D295)</f>
        <v>BENGHANNOU IBTISSAM</v>
      </c>
      <c r="F295" s="24">
        <v>46205</v>
      </c>
      <c r="G295" s="33" t="s">
        <v>1215</v>
      </c>
      <c r="H295" s="22" t="s">
        <v>1282</v>
      </c>
      <c r="I295" s="22" t="s">
        <v>59</v>
      </c>
      <c r="J295" s="33" t="s">
        <v>754</v>
      </c>
      <c r="K295" s="16" t="s">
        <v>57</v>
      </c>
      <c r="L295" s="58" t="s">
        <v>2</v>
      </c>
      <c r="M295" s="58" t="s">
        <v>138</v>
      </c>
      <c r="N295" s="58" t="s">
        <v>4</v>
      </c>
      <c r="O295" s="58" t="s">
        <v>147</v>
      </c>
      <c r="P295" s="58" t="s">
        <v>4</v>
      </c>
      <c r="Q295" s="58" t="s">
        <v>147</v>
      </c>
      <c r="R295" s="50" t="s">
        <v>1163</v>
      </c>
      <c r="S295" s="51" t="s">
        <v>1163</v>
      </c>
      <c r="T295" s="58" t="s">
        <v>4</v>
      </c>
      <c r="U295" s="58" t="s">
        <v>147</v>
      </c>
      <c r="V295" s="58" t="s">
        <v>4</v>
      </c>
      <c r="W295" s="58" t="s">
        <v>147</v>
      </c>
      <c r="X295" s="61" t="s">
        <v>1163</v>
      </c>
      <c r="Y295" s="61" t="s">
        <v>1163</v>
      </c>
    </row>
    <row r="296" spans="1:25" x14ac:dyDescent="0.3">
      <c r="A296" s="11" t="s">
        <v>1286</v>
      </c>
      <c r="B296" s="12"/>
      <c r="C296" s="23" t="s">
        <v>1281</v>
      </c>
      <c r="D296" s="23" t="s">
        <v>701</v>
      </c>
      <c r="E296" s="22" t="str">
        <f t="shared" si="1"/>
        <v>BENGHANNOU IMANE</v>
      </c>
      <c r="F296" s="24">
        <v>46205</v>
      </c>
      <c r="G296" s="33" t="s">
        <v>1215</v>
      </c>
      <c r="H296" s="22" t="s">
        <v>1283</v>
      </c>
      <c r="I296" s="22" t="s">
        <v>59</v>
      </c>
      <c r="J296" s="33" t="s">
        <v>754</v>
      </c>
      <c r="K296" s="16" t="s">
        <v>57</v>
      </c>
      <c r="L296" s="58" t="s">
        <v>2</v>
      </c>
      <c r="M296" s="58" t="s">
        <v>138</v>
      </c>
      <c r="N296" s="58" t="s">
        <v>4</v>
      </c>
      <c r="O296" s="58" t="s">
        <v>147</v>
      </c>
      <c r="P296" s="58" t="s">
        <v>4</v>
      </c>
      <c r="Q296" s="58" t="s">
        <v>147</v>
      </c>
      <c r="R296" s="50" t="s">
        <v>1163</v>
      </c>
      <c r="S296" s="51" t="s">
        <v>1163</v>
      </c>
      <c r="T296" s="58" t="s">
        <v>2</v>
      </c>
      <c r="U296" s="58" t="s">
        <v>137</v>
      </c>
      <c r="V296" s="58" t="s">
        <v>4</v>
      </c>
      <c r="W296" s="58" t="s">
        <v>147</v>
      </c>
      <c r="X296" s="61" t="s">
        <v>1163</v>
      </c>
      <c r="Y296" s="61" t="s">
        <v>1163</v>
      </c>
    </row>
  </sheetData>
  <autoFilter ref="A1:Y296"/>
  <phoneticPr fontId="8" type="noConversion"/>
  <conditionalFormatting sqref="X112:Y112 T5:U5 X104:Y104 X123:Y123 V96:Y97 V99:Y99 X100:Y100 V81:Y82 X116:Y121 X132:Y133 V150:Y155 X160:Y173 V89:Y91 X175:Y177 V191:Y193 X179:Y184 X139:Y139 L138:S138 V134:Y138 V158:Y159 L131:U134 L136:U136 X186:Y190 X195:Y263 L142:U150 L152:U159 L151:Q151 T151:U151 N274:O281 L282:O296 V286:Y289 T290:U290 P286:Q291 R289:S289 X290:Y292 L140:U140 L191:U194 R291:S291 X270:Y285">
    <cfRule type="containsText" dxfId="590" priority="6345" operator="containsText" text="OFF">
      <formula>NOT(ISERROR(SEARCH("OFF",L5)))</formula>
    </cfRule>
  </conditionalFormatting>
  <conditionalFormatting sqref="M1 U1">
    <cfRule type="duplicateValues" dxfId="589" priority="6358"/>
  </conditionalFormatting>
  <conditionalFormatting sqref="B2:B5 B7:B137">
    <cfRule type="expression" dxfId="588" priority="6349">
      <formula>#REF!="OUI"</formula>
    </cfRule>
  </conditionalFormatting>
  <conditionalFormatting sqref="E2:E5 E7:E10">
    <cfRule type="duplicateValues" dxfId="587" priority="6353"/>
  </conditionalFormatting>
  <conditionalFormatting sqref="N2 P2 R2">
    <cfRule type="containsText" dxfId="586" priority="4440" operator="containsText" text="OFF">
      <formula>NOT(ISERROR(SEARCH("OFF",N2)))</formula>
    </cfRule>
  </conditionalFormatting>
  <conditionalFormatting sqref="E297:E1048576">
    <cfRule type="duplicateValues" dxfId="585" priority="13476"/>
  </conditionalFormatting>
  <conditionalFormatting sqref="B138:B192 B195:B262 B273:B292">
    <cfRule type="expression" dxfId="584" priority="2348">
      <formula>#REF!="OUI"</formula>
    </cfRule>
  </conditionalFormatting>
  <conditionalFormatting sqref="E193">
    <cfRule type="duplicateValues" dxfId="583" priority="2347"/>
  </conditionalFormatting>
  <conditionalFormatting sqref="V149 X149:Y149 V142:Y148 V156:Y157">
    <cfRule type="containsText" dxfId="582" priority="2346" operator="containsText" text="OFF">
      <formula>NOT(ISERROR(SEARCH("OFF",V142)))</formula>
    </cfRule>
  </conditionalFormatting>
  <conditionalFormatting sqref="X6:Y6">
    <cfRule type="containsText" dxfId="581" priority="2321" operator="containsText" text="OFF">
      <formula>NOT(ISERROR(SEARCH("OFF",X6)))</formula>
    </cfRule>
  </conditionalFormatting>
  <conditionalFormatting sqref="V3:Y3">
    <cfRule type="containsText" dxfId="580" priority="2326" operator="containsText" text="OFF">
      <formula>NOT(ISERROR(SEARCH("OFF",V3)))</formula>
    </cfRule>
  </conditionalFormatting>
  <conditionalFormatting sqref="W149">
    <cfRule type="containsText" dxfId="579" priority="2332" operator="containsText" text="OFF">
      <formula>NOT(ISERROR(SEARCH("OFF",W149)))</formula>
    </cfRule>
  </conditionalFormatting>
  <conditionalFormatting sqref="N2:Y2">
    <cfRule type="containsText" dxfId="578" priority="2328" operator="containsText" text="OFF">
      <formula>NOT(ISERROR(SEARCH("OFF",N2)))</formula>
    </cfRule>
  </conditionalFormatting>
  <conditionalFormatting sqref="V4:Y4">
    <cfRule type="containsText" dxfId="577" priority="2324" operator="containsText" text="OFF">
      <formula>NOT(ISERROR(SEARCH("OFF",V4)))</formula>
    </cfRule>
  </conditionalFormatting>
  <conditionalFormatting sqref="V12:Y12">
    <cfRule type="containsText" dxfId="576" priority="2322" operator="containsText" text="OFF">
      <formula>NOT(ISERROR(SEARCH("OFF",V12)))</formula>
    </cfRule>
  </conditionalFormatting>
  <conditionalFormatting sqref="V5:W5">
    <cfRule type="containsText" dxfId="575" priority="2318" operator="containsText" text="OFF">
      <formula>NOT(ISERROR(SEARCH("OFF",V5)))</formula>
    </cfRule>
  </conditionalFormatting>
  <conditionalFormatting sqref="X5:Y5">
    <cfRule type="containsText" dxfId="574" priority="2317" operator="containsText" text="OFF">
      <formula>NOT(ISERROR(SEARCH("OFF",X5)))</formula>
    </cfRule>
  </conditionalFormatting>
  <conditionalFormatting sqref="V7:Y7">
    <cfRule type="containsText" dxfId="573" priority="2315" operator="containsText" text="OFF">
      <formula>NOT(ISERROR(SEARCH("OFF",V7)))</formula>
    </cfRule>
  </conditionalFormatting>
  <conditionalFormatting sqref="V8:Y8">
    <cfRule type="containsText" dxfId="572" priority="2313" operator="containsText" text="OFF">
      <formula>NOT(ISERROR(SEARCH("OFF",V8)))</formula>
    </cfRule>
  </conditionalFormatting>
  <conditionalFormatting sqref="V9:Y9">
    <cfRule type="containsText" dxfId="571" priority="2311" operator="containsText" text="OFF">
      <formula>NOT(ISERROR(SEARCH("OFF",V9)))</formula>
    </cfRule>
  </conditionalFormatting>
  <conditionalFormatting sqref="V10:Y10">
    <cfRule type="containsText" dxfId="570" priority="2309" operator="containsText" text="OFF">
      <formula>NOT(ISERROR(SEARCH("OFF",V10)))</formula>
    </cfRule>
  </conditionalFormatting>
  <conditionalFormatting sqref="V11:Y11">
    <cfRule type="containsText" dxfId="569" priority="2307" operator="containsText" text="OFF">
      <formula>NOT(ISERROR(SEARCH("OFF",V11)))</formula>
    </cfRule>
  </conditionalFormatting>
  <conditionalFormatting sqref="V13:Y13">
    <cfRule type="containsText" dxfId="568" priority="2305" operator="containsText" text="OFF">
      <formula>NOT(ISERROR(SEARCH("OFF",V13)))</formula>
    </cfRule>
  </conditionalFormatting>
  <conditionalFormatting sqref="V14:Y14">
    <cfRule type="containsText" dxfId="567" priority="2303" operator="containsText" text="OFF">
      <formula>NOT(ISERROR(SEARCH("OFF",V14)))</formula>
    </cfRule>
  </conditionalFormatting>
  <conditionalFormatting sqref="V15:Y15">
    <cfRule type="containsText" dxfId="566" priority="2301" operator="containsText" text="OFF">
      <formula>NOT(ISERROR(SEARCH("OFF",V15)))</formula>
    </cfRule>
  </conditionalFormatting>
  <conditionalFormatting sqref="V16:Y16">
    <cfRule type="containsText" dxfId="565" priority="2299" operator="containsText" text="OFF">
      <formula>NOT(ISERROR(SEARCH("OFF",V16)))</formula>
    </cfRule>
  </conditionalFormatting>
  <conditionalFormatting sqref="V17:Y17">
    <cfRule type="containsText" dxfId="564" priority="2297" operator="containsText" text="OFF">
      <formula>NOT(ISERROR(SEARCH("OFF",V17)))</formula>
    </cfRule>
  </conditionalFormatting>
  <conditionalFormatting sqref="X101:Y101">
    <cfRule type="containsText" dxfId="563" priority="2279" operator="containsText" text="OFF">
      <formula>NOT(ISERROR(SEARCH("OFF",X101)))</formula>
    </cfRule>
  </conditionalFormatting>
  <conditionalFormatting sqref="X102:Y102">
    <cfRule type="containsText" dxfId="562" priority="2278" operator="containsText" text="OFF">
      <formula>NOT(ISERROR(SEARCH("OFF",X102)))</formula>
    </cfRule>
  </conditionalFormatting>
  <conditionalFormatting sqref="X107:Y107">
    <cfRule type="containsText" dxfId="561" priority="2276" operator="containsText" text="OFF">
      <formula>NOT(ISERROR(SEARCH("OFF",X107)))</formula>
    </cfRule>
  </conditionalFormatting>
  <conditionalFormatting sqref="X109:Y109">
    <cfRule type="containsText" dxfId="560" priority="2275" operator="containsText" text="OFF">
      <formula>NOT(ISERROR(SEARCH("OFF",X109)))</formula>
    </cfRule>
  </conditionalFormatting>
  <conditionalFormatting sqref="X108:Y108">
    <cfRule type="containsText" dxfId="559" priority="2274" operator="containsText" text="OFF">
      <formula>NOT(ISERROR(SEARCH("OFF",X108)))</formula>
    </cfRule>
  </conditionalFormatting>
  <conditionalFormatting sqref="X110:Y110">
    <cfRule type="containsText" dxfId="558" priority="2273" operator="containsText" text="OFF">
      <formula>NOT(ISERROR(SEARCH("OFF",X110)))</formula>
    </cfRule>
  </conditionalFormatting>
  <conditionalFormatting sqref="X111:Y111">
    <cfRule type="containsText" dxfId="557" priority="2272" operator="containsText" text="OFF">
      <formula>NOT(ISERROR(SEARCH("OFF",X111)))</formula>
    </cfRule>
  </conditionalFormatting>
  <conditionalFormatting sqref="X127:Y127">
    <cfRule type="containsText" dxfId="556" priority="2270" operator="containsText" text="OFF">
      <formula>NOT(ISERROR(SEARCH("OFF",X127)))</formula>
    </cfRule>
  </conditionalFormatting>
  <conditionalFormatting sqref="X105:Y105">
    <cfRule type="containsText" dxfId="555" priority="2261" operator="containsText" text="OFF">
      <formula>NOT(ISERROR(SEARCH("OFF",X105)))</formula>
    </cfRule>
  </conditionalFormatting>
  <conditionalFormatting sqref="X113:Y113">
    <cfRule type="containsText" dxfId="554" priority="2259" operator="containsText" text="OFF">
      <formula>NOT(ISERROR(SEARCH("OFF",X113)))</formula>
    </cfRule>
  </conditionalFormatting>
  <conditionalFormatting sqref="X114:Y114">
    <cfRule type="containsText" dxfId="553" priority="2257" operator="containsText" text="OFF">
      <formula>NOT(ISERROR(SEARCH("OFF",X114)))</formula>
    </cfRule>
  </conditionalFormatting>
  <conditionalFormatting sqref="X115:Y115">
    <cfRule type="containsText" dxfId="552" priority="2255" operator="containsText" text="OFF">
      <formula>NOT(ISERROR(SEARCH("OFF",X115)))</formula>
    </cfRule>
  </conditionalFormatting>
  <conditionalFormatting sqref="X18:Y18">
    <cfRule type="containsText" dxfId="551" priority="2254" operator="containsText" text="OFF">
      <formula>NOT(ISERROR(SEARCH("OFF",X18)))</formula>
    </cfRule>
  </conditionalFormatting>
  <conditionalFormatting sqref="X19:Y19">
    <cfRule type="containsText" dxfId="550" priority="2253" operator="containsText" text="OFF">
      <formula>NOT(ISERROR(SEARCH("OFF",X19)))</formula>
    </cfRule>
  </conditionalFormatting>
  <conditionalFormatting sqref="L20:Y20">
    <cfRule type="containsText" dxfId="549" priority="2252" operator="containsText" text="OFF">
      <formula>NOT(ISERROR(SEARCH("OFF",L20)))</formula>
    </cfRule>
  </conditionalFormatting>
  <conditionalFormatting sqref="X21:Y21">
    <cfRule type="containsText" dxfId="548" priority="2251" operator="containsText" text="OFF">
      <formula>NOT(ISERROR(SEARCH("OFF",X21)))</formula>
    </cfRule>
  </conditionalFormatting>
  <conditionalFormatting sqref="X23:Y23">
    <cfRule type="containsText" dxfId="547" priority="2250" operator="containsText" text="OFF">
      <formula>NOT(ISERROR(SEARCH("OFF",X23)))</formula>
    </cfRule>
  </conditionalFormatting>
  <conditionalFormatting sqref="X24:Y24">
    <cfRule type="containsText" dxfId="546" priority="2249" operator="containsText" text="OFF">
      <formula>NOT(ISERROR(SEARCH("OFF",X24)))</formula>
    </cfRule>
  </conditionalFormatting>
  <conditionalFormatting sqref="X25:Y25">
    <cfRule type="containsText" dxfId="545" priority="2248" operator="containsText" text="OFF">
      <formula>NOT(ISERROR(SEARCH("OFF",X25)))</formula>
    </cfRule>
  </conditionalFormatting>
  <conditionalFormatting sqref="X26:Y26">
    <cfRule type="containsText" dxfId="544" priority="2247" operator="containsText" text="OFF">
      <formula>NOT(ISERROR(SEARCH("OFF",X26)))</formula>
    </cfRule>
  </conditionalFormatting>
  <conditionalFormatting sqref="X27:Y27">
    <cfRule type="containsText" dxfId="543" priority="2246" operator="containsText" text="OFF">
      <formula>NOT(ISERROR(SEARCH("OFF",X27)))</formula>
    </cfRule>
  </conditionalFormatting>
  <conditionalFormatting sqref="X28:Y28">
    <cfRule type="containsText" dxfId="542" priority="2245" operator="containsText" text="OFF">
      <formula>NOT(ISERROR(SEARCH("OFF",X28)))</formula>
    </cfRule>
  </conditionalFormatting>
  <conditionalFormatting sqref="X29:Y29">
    <cfRule type="containsText" dxfId="541" priority="2244" operator="containsText" text="OFF">
      <formula>NOT(ISERROR(SEARCH("OFF",X29)))</formula>
    </cfRule>
  </conditionalFormatting>
  <conditionalFormatting sqref="M7:U7">
    <cfRule type="containsText" dxfId="540" priority="2116" operator="containsText" text="OFF">
      <formula>NOT(ISERROR(SEARCH("OFF",M7)))</formula>
    </cfRule>
  </conditionalFormatting>
  <conditionalFormatting sqref="X122:Y122">
    <cfRule type="containsText" dxfId="539" priority="2184" operator="containsText" text="OFF">
      <formula>NOT(ISERROR(SEARCH("OFF",X122)))</formula>
    </cfRule>
  </conditionalFormatting>
  <conditionalFormatting sqref="X124:Y124">
    <cfRule type="containsText" dxfId="538" priority="2183" operator="containsText" text="OFF">
      <formula>NOT(ISERROR(SEARCH("OFF",X124)))</formula>
    </cfRule>
  </conditionalFormatting>
  <conditionalFormatting sqref="X125:Y125">
    <cfRule type="containsText" dxfId="537" priority="2182" operator="containsText" text="OFF">
      <formula>NOT(ISERROR(SEARCH("OFF",X125)))</formula>
    </cfRule>
  </conditionalFormatting>
  <conditionalFormatting sqref="X126:Y126">
    <cfRule type="containsText" dxfId="536" priority="2181" operator="containsText" text="OFF">
      <formula>NOT(ISERROR(SEARCH("OFF",X126)))</formula>
    </cfRule>
  </conditionalFormatting>
  <conditionalFormatting sqref="X128:Y128">
    <cfRule type="containsText" dxfId="535" priority="2180" operator="containsText" text="OFF">
      <formula>NOT(ISERROR(SEARCH("OFF",X128)))</formula>
    </cfRule>
  </conditionalFormatting>
  <conditionalFormatting sqref="X129:Y129">
    <cfRule type="containsText" dxfId="534" priority="2179" operator="containsText" text="OFF">
      <formula>NOT(ISERROR(SEARCH("OFF",X129)))</formula>
    </cfRule>
  </conditionalFormatting>
  <conditionalFormatting sqref="X130:Y130">
    <cfRule type="containsText" dxfId="533" priority="2178" operator="containsText" text="OFF">
      <formula>NOT(ISERROR(SEARCH("OFF",X130)))</formula>
    </cfRule>
  </conditionalFormatting>
  <conditionalFormatting sqref="X131:Y131">
    <cfRule type="containsText" dxfId="532" priority="2177" operator="containsText" text="OFF">
      <formula>NOT(ISERROR(SEARCH("OFF",X131)))</formula>
    </cfRule>
  </conditionalFormatting>
  <conditionalFormatting sqref="V84:Y84">
    <cfRule type="containsText" dxfId="531" priority="2140" operator="containsText" text="OFF">
      <formula>NOT(ISERROR(SEARCH("OFF",V84)))</formula>
    </cfRule>
  </conditionalFormatting>
  <conditionalFormatting sqref="X86:Y86">
    <cfRule type="containsText" dxfId="530" priority="2132" operator="containsText" text="OFF">
      <formula>NOT(ISERROR(SEARCH("OFF",X86)))</formula>
    </cfRule>
  </conditionalFormatting>
  <conditionalFormatting sqref="L3 N3 P3 R3">
    <cfRule type="containsText" dxfId="529" priority="2128" operator="containsText" text="OFF">
      <formula>NOT(ISERROR(SEARCH("OFF",L3)))</formula>
    </cfRule>
  </conditionalFormatting>
  <conditionalFormatting sqref="M3:S3">
    <cfRule type="containsText" dxfId="528" priority="2127" operator="containsText" text="OFF">
      <formula>NOT(ISERROR(SEARCH("OFF",M3)))</formula>
    </cfRule>
  </conditionalFormatting>
  <conditionalFormatting sqref="L4 N4 P4 R4">
    <cfRule type="containsText" dxfId="527" priority="2126" operator="containsText" text="OFF">
      <formula>NOT(ISERROR(SEARCH("OFF",L4)))</formula>
    </cfRule>
  </conditionalFormatting>
  <conditionalFormatting sqref="M4:U4">
    <cfRule type="containsText" dxfId="526" priority="2125" operator="containsText" text="OFF">
      <formula>NOT(ISERROR(SEARCH("OFF",M4)))</formula>
    </cfRule>
  </conditionalFormatting>
  <conditionalFormatting sqref="L12">
    <cfRule type="containsText" dxfId="525" priority="2124" operator="containsText" text="OFF">
      <formula>NOT(ISERROR(SEARCH("OFF",L12)))</formula>
    </cfRule>
  </conditionalFormatting>
  <conditionalFormatting sqref="M12 T12:U12">
    <cfRule type="containsText" dxfId="524" priority="2123" operator="containsText" text="OFF">
      <formula>NOT(ISERROR(SEARCH("OFF",M12)))</formula>
    </cfRule>
  </conditionalFormatting>
  <conditionalFormatting sqref="L5:S5">
    <cfRule type="containsText" dxfId="523" priority="2118" operator="containsText" text="OFF">
      <formula>NOT(ISERROR(SEARCH("OFF",L5)))</formula>
    </cfRule>
  </conditionalFormatting>
  <conditionalFormatting sqref="L7 N7 P7 R7">
    <cfRule type="containsText" dxfId="522" priority="2117" operator="containsText" text="OFF">
      <formula>NOT(ISERROR(SEARCH("OFF",L7)))</formula>
    </cfRule>
  </conditionalFormatting>
  <conditionalFormatting sqref="L9 N9 P9 R9">
    <cfRule type="containsText" dxfId="521" priority="2113" operator="containsText" text="OFF">
      <formula>NOT(ISERROR(SEARCH("OFF",L9)))</formula>
    </cfRule>
  </conditionalFormatting>
  <conditionalFormatting sqref="M9:U9">
    <cfRule type="containsText" dxfId="520" priority="2112" operator="containsText" text="OFF">
      <formula>NOT(ISERROR(SEARCH("OFF",M9)))</formula>
    </cfRule>
  </conditionalFormatting>
  <conditionalFormatting sqref="L10 N10 P10 R10">
    <cfRule type="containsText" dxfId="519" priority="2111" operator="containsText" text="OFF">
      <formula>NOT(ISERROR(SEARCH("OFF",L10)))</formula>
    </cfRule>
  </conditionalFormatting>
  <conditionalFormatting sqref="M10:U10">
    <cfRule type="containsText" dxfId="518" priority="2110" operator="containsText" text="OFF">
      <formula>NOT(ISERROR(SEARCH("OFF",M10)))</formula>
    </cfRule>
  </conditionalFormatting>
  <conditionalFormatting sqref="L11 N11 P11 R11">
    <cfRule type="containsText" dxfId="517" priority="2109" operator="containsText" text="OFF">
      <formula>NOT(ISERROR(SEARCH("OFF",L11)))</formula>
    </cfRule>
  </conditionalFormatting>
  <conditionalFormatting sqref="M11:U11">
    <cfRule type="containsText" dxfId="516" priority="2108" operator="containsText" text="OFF">
      <formula>NOT(ISERROR(SEARCH("OFF",M11)))</formula>
    </cfRule>
  </conditionalFormatting>
  <conditionalFormatting sqref="L13 N13 P13 R13">
    <cfRule type="containsText" dxfId="515" priority="2107" operator="containsText" text="OFF">
      <formula>NOT(ISERROR(SEARCH("OFF",L13)))</formula>
    </cfRule>
  </conditionalFormatting>
  <conditionalFormatting sqref="M13:U13">
    <cfRule type="containsText" dxfId="514" priority="2106" operator="containsText" text="OFF">
      <formula>NOT(ISERROR(SEARCH("OFF",M13)))</formula>
    </cfRule>
  </conditionalFormatting>
  <conditionalFormatting sqref="L14 N14 P14 R14">
    <cfRule type="containsText" dxfId="513" priority="2105" operator="containsText" text="OFF">
      <formula>NOT(ISERROR(SEARCH("OFF",L14)))</formula>
    </cfRule>
  </conditionalFormatting>
  <conditionalFormatting sqref="M14:U14">
    <cfRule type="containsText" dxfId="512" priority="2104" operator="containsText" text="OFF">
      <formula>NOT(ISERROR(SEARCH("OFF",M14)))</formula>
    </cfRule>
  </conditionalFormatting>
  <conditionalFormatting sqref="L16 N16 P16">
    <cfRule type="containsText" dxfId="511" priority="2101" operator="containsText" text="OFF">
      <formula>NOT(ISERROR(SEARCH("OFF",L16)))</formula>
    </cfRule>
  </conditionalFormatting>
  <conditionalFormatting sqref="M16:Q16">
    <cfRule type="containsText" dxfId="510" priority="2100" operator="containsText" text="OFF">
      <formula>NOT(ISERROR(SEARCH("OFF",M16)))</formula>
    </cfRule>
  </conditionalFormatting>
  <conditionalFormatting sqref="L17 N17 P17 R17">
    <cfRule type="containsText" dxfId="509" priority="2099" operator="containsText" text="OFF">
      <formula>NOT(ISERROR(SEARCH("OFF",L17)))</formula>
    </cfRule>
  </conditionalFormatting>
  <conditionalFormatting sqref="M17:U17">
    <cfRule type="containsText" dxfId="508" priority="2098" operator="containsText" text="OFF">
      <formula>NOT(ISERROR(SEARCH("OFF",M17)))</formula>
    </cfRule>
  </conditionalFormatting>
  <conditionalFormatting sqref="N12">
    <cfRule type="containsText" dxfId="507" priority="2034" operator="containsText" text="OFF">
      <formula>NOT(ISERROR(SEARCH("OFF",N12)))</formula>
    </cfRule>
  </conditionalFormatting>
  <conditionalFormatting sqref="O12">
    <cfRule type="containsText" dxfId="506" priority="2033" operator="containsText" text="OFF">
      <formula>NOT(ISERROR(SEARCH("OFF",O12)))</formula>
    </cfRule>
  </conditionalFormatting>
  <conditionalFormatting sqref="P12">
    <cfRule type="containsText" dxfId="505" priority="2032" operator="containsText" text="OFF">
      <formula>NOT(ISERROR(SEARCH("OFF",P12)))</formula>
    </cfRule>
  </conditionalFormatting>
  <conditionalFormatting sqref="Q12">
    <cfRule type="containsText" dxfId="504" priority="2031" operator="containsText" text="OFF">
      <formula>NOT(ISERROR(SEARCH("OFF",Q12)))</formula>
    </cfRule>
  </conditionalFormatting>
  <conditionalFormatting sqref="R12">
    <cfRule type="containsText" dxfId="503" priority="2030" operator="containsText" text="OFF">
      <formula>NOT(ISERROR(SEARCH("OFF",R12)))</formula>
    </cfRule>
  </conditionalFormatting>
  <conditionalFormatting sqref="S12">
    <cfRule type="containsText" dxfId="502" priority="2029" operator="containsText" text="OFF">
      <formula>NOT(ISERROR(SEARCH("OFF",S12)))</formula>
    </cfRule>
  </conditionalFormatting>
  <conditionalFormatting sqref="V86:W86">
    <cfRule type="containsText" dxfId="501" priority="2013" operator="containsText" text="OFF">
      <formula>NOT(ISERROR(SEARCH("OFF",V86)))</formula>
    </cfRule>
  </conditionalFormatting>
  <conditionalFormatting sqref="V98:Y98">
    <cfRule type="containsText" dxfId="500" priority="2005" operator="containsText" text="OFF">
      <formula>NOT(ISERROR(SEARCH("OFF",V98)))</formula>
    </cfRule>
  </conditionalFormatting>
  <conditionalFormatting sqref="X106:Y106">
    <cfRule type="containsText" dxfId="499" priority="1964" operator="containsText" text="OFF">
      <formula>NOT(ISERROR(SEARCH("OFF",X106)))</formula>
    </cfRule>
  </conditionalFormatting>
  <conditionalFormatting sqref="V103:Y103">
    <cfRule type="containsText" dxfId="498" priority="1981" operator="containsText" text="OFF">
      <formula>NOT(ISERROR(SEARCH("OFF",V103)))</formula>
    </cfRule>
  </conditionalFormatting>
  <conditionalFormatting sqref="V100:W100">
    <cfRule type="containsText" dxfId="497" priority="1939" operator="containsText" text="OFF">
      <formula>NOT(ISERROR(SEARCH("OFF",V100)))</formula>
    </cfRule>
  </conditionalFormatting>
  <conditionalFormatting sqref="V101:W101">
    <cfRule type="containsText" dxfId="496" priority="1972" operator="containsText" text="OFF">
      <formula>NOT(ISERROR(SEARCH("OFF",V101)))</formula>
    </cfRule>
  </conditionalFormatting>
  <conditionalFormatting sqref="X22:Y22">
    <cfRule type="containsText" dxfId="495" priority="1971" operator="containsText" text="OFF">
      <formula>NOT(ISERROR(SEARCH("OFF",X22)))</formula>
    </cfRule>
  </conditionalFormatting>
  <conditionalFormatting sqref="L18:W18">
    <cfRule type="containsText" dxfId="494" priority="1866" operator="containsText" text="OFF">
      <formula>NOT(ISERROR(SEARCH("OFF",L18)))</formula>
    </cfRule>
  </conditionalFormatting>
  <conditionalFormatting sqref="L19:W19">
    <cfRule type="containsText" dxfId="493" priority="1865" operator="containsText" text="OFF">
      <formula>NOT(ISERROR(SEARCH("OFF",L19)))</formula>
    </cfRule>
  </conditionalFormatting>
  <conditionalFormatting sqref="L21:W21">
    <cfRule type="containsText" dxfId="492" priority="1864" operator="containsText" text="OFF">
      <formula>NOT(ISERROR(SEARCH("OFF",L21)))</formula>
    </cfRule>
  </conditionalFormatting>
  <conditionalFormatting sqref="V194:Y194">
    <cfRule type="containsText" dxfId="491" priority="1813" operator="containsText" text="OFF">
      <formula>NOT(ISERROR(SEARCH("OFF",V194)))</formula>
    </cfRule>
  </conditionalFormatting>
  <conditionalFormatting sqref="E194">
    <cfRule type="duplicateValues" dxfId="490" priority="1814"/>
  </conditionalFormatting>
  <conditionalFormatting sqref="E263">
    <cfRule type="duplicateValues" dxfId="489" priority="1810"/>
  </conditionalFormatting>
  <conditionalFormatting sqref="V6:W6">
    <cfRule type="containsText" dxfId="488" priority="1779" operator="containsText" text="OFF">
      <formula>NOT(ISERROR(SEARCH("OFF",V6)))</formula>
    </cfRule>
  </conditionalFormatting>
  <conditionalFormatting sqref="L2">
    <cfRule type="containsText" dxfId="487" priority="1784" operator="containsText" text="OFF">
      <formula>NOT(ISERROR(SEARCH("OFF",L2)))</formula>
    </cfRule>
  </conditionalFormatting>
  <conditionalFormatting sqref="M2">
    <cfRule type="containsText" dxfId="486" priority="1783" operator="containsText" text="OFF">
      <formula>NOT(ISERROR(SEARCH("OFF",M2)))</formula>
    </cfRule>
  </conditionalFormatting>
  <conditionalFormatting sqref="B6 B270:B272">
    <cfRule type="expression" dxfId="485" priority="1781">
      <formula>#REF!="OUI"</formula>
    </cfRule>
  </conditionalFormatting>
  <conditionalFormatting sqref="E6">
    <cfRule type="duplicateValues" dxfId="484" priority="1782"/>
  </conditionalFormatting>
  <conditionalFormatting sqref="V121:W121">
    <cfRule type="containsText" dxfId="483" priority="1594" operator="containsText" text="OFF">
      <formula>NOT(ISERROR(SEARCH("OFF",V121)))</formula>
    </cfRule>
  </conditionalFormatting>
  <conditionalFormatting sqref="L6:S6">
    <cfRule type="containsText" dxfId="482" priority="1777" operator="containsText" text="OFF">
      <formula>NOT(ISERROR(SEARCH("OFF",L6)))</formula>
    </cfRule>
  </conditionalFormatting>
  <conditionalFormatting sqref="X264:Y264">
    <cfRule type="containsText" dxfId="481" priority="1462" operator="containsText" text="OFF">
      <formula>NOT(ISERROR(SEARCH("OFF",X264)))</formula>
    </cfRule>
  </conditionalFormatting>
  <conditionalFormatting sqref="V120:W120">
    <cfRule type="containsText" dxfId="480" priority="1341" operator="containsText" text="OFF">
      <formula>NOT(ISERROR(SEARCH("OFF",V120)))</formula>
    </cfRule>
  </conditionalFormatting>
  <conditionalFormatting sqref="V104:W104">
    <cfRule type="containsText" dxfId="479" priority="1356" operator="containsText" text="OFF">
      <formula>NOT(ISERROR(SEARCH("OFF",V104)))</formula>
    </cfRule>
  </conditionalFormatting>
  <conditionalFormatting sqref="V105:W105">
    <cfRule type="containsText" dxfId="478" priority="1355" operator="containsText" text="OFF">
      <formula>NOT(ISERROR(SEARCH("OFF",V105)))</formula>
    </cfRule>
  </conditionalFormatting>
  <conditionalFormatting sqref="V106:W106">
    <cfRule type="containsText" dxfId="477" priority="1354" operator="containsText" text="OFF">
      <formula>NOT(ISERROR(SEARCH("OFF",V106)))</formula>
    </cfRule>
  </conditionalFormatting>
  <conditionalFormatting sqref="V133:W133">
    <cfRule type="containsText" dxfId="476" priority="1328" operator="containsText" text="OFF">
      <formula>NOT(ISERROR(SEARCH("OFF",V133)))</formula>
    </cfRule>
  </conditionalFormatting>
  <conditionalFormatting sqref="V119:W119">
    <cfRule type="containsText" dxfId="475" priority="1342" operator="containsText" text="OFF">
      <formula>NOT(ISERROR(SEARCH("OFF",V119)))</formula>
    </cfRule>
  </conditionalFormatting>
  <conditionalFormatting sqref="V123:W123">
    <cfRule type="containsText" dxfId="474" priority="1339" operator="containsText" text="OFF">
      <formula>NOT(ISERROR(SEARCH("OFF",V123)))</formula>
    </cfRule>
  </conditionalFormatting>
  <conditionalFormatting sqref="V124:W124">
    <cfRule type="containsText" dxfId="473" priority="1338" operator="containsText" text="OFF">
      <formula>NOT(ISERROR(SEARCH("OFF",V124)))</formula>
    </cfRule>
  </conditionalFormatting>
  <conditionalFormatting sqref="V125:W125">
    <cfRule type="containsText" dxfId="472" priority="1337" operator="containsText" text="OFF">
      <formula>NOT(ISERROR(SEARCH("OFF",V125)))</formula>
    </cfRule>
  </conditionalFormatting>
  <conditionalFormatting sqref="V132:W132">
    <cfRule type="containsText" dxfId="471" priority="1329" operator="containsText" text="OFF">
      <formula>NOT(ISERROR(SEARCH("OFF",V132)))</formula>
    </cfRule>
  </conditionalFormatting>
  <conditionalFormatting sqref="V113:W113">
    <cfRule type="containsText" dxfId="470" priority="1277" operator="containsText" text="OFF">
      <formula>NOT(ISERROR(SEARCH("OFF",V113)))</formula>
    </cfRule>
  </conditionalFormatting>
  <conditionalFormatting sqref="V265:W267">
    <cfRule type="containsText" dxfId="469" priority="1124" operator="containsText" text="OFF">
      <formula>NOT(ISERROR(SEARCH("OFF",V265)))</formula>
    </cfRule>
  </conditionalFormatting>
  <conditionalFormatting sqref="B265:B267">
    <cfRule type="expression" dxfId="468" priority="1126">
      <formula>#REF!="OUI"</formula>
    </cfRule>
  </conditionalFormatting>
  <conditionalFormatting sqref="X265:Y267">
    <cfRule type="containsText" dxfId="467" priority="1123" operator="containsText" text="OFF">
      <formula>NOT(ISERROR(SEARCH("OFF",X265)))</formula>
    </cfRule>
  </conditionalFormatting>
  <conditionalFormatting sqref="V83:Y83">
    <cfRule type="containsText" dxfId="466" priority="1008" operator="containsText" text="OFF">
      <formula>NOT(ISERROR(SEARCH("OFF",V83)))</formula>
    </cfRule>
  </conditionalFormatting>
  <conditionalFormatting sqref="V85:Y85">
    <cfRule type="containsText" dxfId="465" priority="1007" operator="containsText" text="OFF">
      <formula>NOT(ISERROR(SEARCH("OFF",V85)))</formula>
    </cfRule>
  </conditionalFormatting>
  <conditionalFormatting sqref="V87:Y87">
    <cfRule type="containsText" dxfId="464" priority="1006" operator="containsText" text="OFF">
      <formula>NOT(ISERROR(SEARCH("OFF",V87)))</formula>
    </cfRule>
  </conditionalFormatting>
  <conditionalFormatting sqref="V88:Y88">
    <cfRule type="containsText" dxfId="463" priority="1005" operator="containsText" text="OFF">
      <formula>NOT(ISERROR(SEARCH("OFF",V88)))</formula>
    </cfRule>
  </conditionalFormatting>
  <conditionalFormatting sqref="T3:U3">
    <cfRule type="containsText" dxfId="462" priority="1004" operator="containsText" text="OFF">
      <formula>NOT(ISERROR(SEARCH("OFF",T3)))</formula>
    </cfRule>
  </conditionalFormatting>
  <conditionalFormatting sqref="V118:W118">
    <cfRule type="containsText" dxfId="461" priority="990" operator="containsText" text="OFF">
      <formula>NOT(ISERROR(SEARCH("OFF",V118)))</formula>
    </cfRule>
  </conditionalFormatting>
  <conditionalFormatting sqref="X141:Y141">
    <cfRule type="containsText" dxfId="460" priority="976" operator="containsText" text="OFF">
      <formula>NOT(ISERROR(SEARCH("OFF",X141)))</formula>
    </cfRule>
  </conditionalFormatting>
  <conditionalFormatting sqref="X140:Y140">
    <cfRule type="containsText" dxfId="459" priority="977" operator="containsText" text="OFF">
      <formula>NOT(ISERROR(SEARCH("OFF",X140)))</formula>
    </cfRule>
  </conditionalFormatting>
  <conditionalFormatting sqref="V126:W126">
    <cfRule type="containsText" dxfId="458" priority="737" operator="containsText" text="OFF">
      <formula>NOT(ISERROR(SEARCH("OFF",V126)))</formula>
    </cfRule>
  </conditionalFormatting>
  <conditionalFormatting sqref="X178:Y178">
    <cfRule type="containsText" dxfId="457" priority="898" operator="containsText" text="OFF">
      <formula>NOT(ISERROR(SEARCH("OFF",X178)))</formula>
    </cfRule>
  </conditionalFormatting>
  <conditionalFormatting sqref="V167:W167">
    <cfRule type="containsText" dxfId="456" priority="715" operator="containsText" text="OFF">
      <formula>NOT(ISERROR(SEARCH("OFF",V167)))</formula>
    </cfRule>
  </conditionalFormatting>
  <conditionalFormatting sqref="V23:W23">
    <cfRule type="containsText" dxfId="455" priority="789" operator="containsText" text="OFF">
      <formula>NOT(ISERROR(SEARCH("OFF",V23)))</formula>
    </cfRule>
  </conditionalFormatting>
  <conditionalFormatting sqref="V24:W24">
    <cfRule type="containsText" dxfId="454" priority="788" operator="containsText" text="OFF">
      <formula>NOT(ISERROR(SEARCH("OFF",V24)))</formula>
    </cfRule>
  </conditionalFormatting>
  <conditionalFormatting sqref="V25:W25">
    <cfRule type="containsText" dxfId="453" priority="786" operator="containsText" text="OFF">
      <formula>NOT(ISERROR(SEARCH("OFF",V25)))</formula>
    </cfRule>
  </conditionalFormatting>
  <conditionalFormatting sqref="V26:W26">
    <cfRule type="containsText" dxfId="452" priority="784" operator="containsText" text="OFF">
      <formula>NOT(ISERROR(SEARCH("OFF",V26)))</formula>
    </cfRule>
  </conditionalFormatting>
  <conditionalFormatting sqref="V27:W27">
    <cfRule type="containsText" dxfId="451" priority="783" operator="containsText" text="OFF">
      <formula>NOT(ISERROR(SEARCH("OFF",V27)))</formula>
    </cfRule>
  </conditionalFormatting>
  <conditionalFormatting sqref="V28:W28">
    <cfRule type="containsText" dxfId="450" priority="781" operator="containsText" text="OFF">
      <formula>NOT(ISERROR(SEARCH("OFF",V28)))</formula>
    </cfRule>
  </conditionalFormatting>
  <conditionalFormatting sqref="V29:W29">
    <cfRule type="containsText" dxfId="449" priority="779" operator="containsText" text="OFF">
      <formula>NOT(ISERROR(SEARCH("OFF",V29)))</formula>
    </cfRule>
  </conditionalFormatting>
  <conditionalFormatting sqref="V264:W264">
    <cfRule type="containsText" dxfId="448" priority="778" operator="containsText" text="OFF">
      <formula>NOT(ISERROR(SEARCH("OFF",V264)))</formula>
    </cfRule>
  </conditionalFormatting>
  <conditionalFormatting sqref="E264:E267">
    <cfRule type="duplicateValues" dxfId="447" priority="777"/>
  </conditionalFormatting>
  <conditionalFormatting sqref="X268:Y269">
    <cfRule type="containsText" dxfId="446" priority="776" operator="containsText" text="OFF">
      <formula>NOT(ISERROR(SEARCH("OFF",X268)))</formula>
    </cfRule>
  </conditionalFormatting>
  <conditionalFormatting sqref="V268:W269">
    <cfRule type="containsText" dxfId="445" priority="775" operator="containsText" text="OFF">
      <formula>NOT(ISERROR(SEARCH("OFF",V268)))</formula>
    </cfRule>
  </conditionalFormatting>
  <conditionalFormatting sqref="B268:B269">
    <cfRule type="expression" dxfId="444" priority="774">
      <formula>#REF!="OUI"</formula>
    </cfRule>
  </conditionalFormatting>
  <conditionalFormatting sqref="L126:M127 L118:U121 L113:M113 T113:U113 L123:U125 L122:S122 L96:U106 L81:U91">
    <cfRule type="containsText" dxfId="443" priority="773" operator="containsText" text="OFF">
      <formula>NOT(ISERROR(SEARCH("OFF",L81)))</formula>
    </cfRule>
  </conditionalFormatting>
  <conditionalFormatting sqref="Y93">
    <cfRule type="containsText" dxfId="442" priority="771" operator="containsText" text="OFF">
      <formula>NOT(ISERROR(SEARCH("OFF",Y93)))</formula>
    </cfRule>
  </conditionalFormatting>
  <conditionalFormatting sqref="Y95">
    <cfRule type="containsText" dxfId="441" priority="769" operator="containsText" text="OFF">
      <formula>NOT(ISERROR(SEARCH("OFF",Y95)))</formula>
    </cfRule>
  </conditionalFormatting>
  <conditionalFormatting sqref="L80:M80">
    <cfRule type="containsText" dxfId="440" priority="768" operator="containsText" text="OFF">
      <formula>NOT(ISERROR(SEARCH("OFF",L80)))</formula>
    </cfRule>
  </conditionalFormatting>
  <conditionalFormatting sqref="X80:Y80">
    <cfRule type="containsText" dxfId="439" priority="767" operator="containsText" text="OFF">
      <formula>NOT(ISERROR(SEARCH("OFF",X80)))</formula>
    </cfRule>
  </conditionalFormatting>
  <conditionalFormatting sqref="P187:Q187">
    <cfRule type="containsText" dxfId="438" priority="537" operator="containsText" text="OFF">
      <formula>NOT(ISERROR(SEARCH("OFF",P187)))</formula>
    </cfRule>
  </conditionalFormatting>
  <conditionalFormatting sqref="N127:U127">
    <cfRule type="containsText" dxfId="437" priority="735" operator="containsText" text="OFF">
      <formula>NOT(ISERROR(SEARCH("OFF",N127)))</formula>
    </cfRule>
  </conditionalFormatting>
  <conditionalFormatting sqref="N126:U126">
    <cfRule type="containsText" dxfId="436" priority="738" operator="containsText" text="OFF">
      <formula>NOT(ISERROR(SEARCH("OFF",N126)))</formula>
    </cfRule>
  </conditionalFormatting>
  <conditionalFormatting sqref="V127:W127">
    <cfRule type="containsText" dxfId="435" priority="734" operator="containsText" text="OFF">
      <formula>NOT(ISERROR(SEARCH("OFF",V127)))</formula>
    </cfRule>
  </conditionalFormatting>
  <conditionalFormatting sqref="V131:W131">
    <cfRule type="containsText" dxfId="434" priority="731" operator="containsText" text="OFF">
      <formula>NOT(ISERROR(SEARCH("OFF",V131)))</formula>
    </cfRule>
  </conditionalFormatting>
  <conditionalFormatting sqref="N169:O169">
    <cfRule type="containsText" dxfId="433" priority="635" operator="containsText" text="OFF">
      <formula>NOT(ISERROR(SEARCH("OFF",N169)))</formula>
    </cfRule>
  </conditionalFormatting>
  <conditionalFormatting sqref="L178:M178">
    <cfRule type="containsText" dxfId="432" priority="592" operator="containsText" text="OFF">
      <formula>NOT(ISERROR(SEARCH("OFF",L178)))</formula>
    </cfRule>
  </conditionalFormatting>
  <conditionalFormatting sqref="N178:O178">
    <cfRule type="containsText" dxfId="431" priority="591" operator="containsText" text="OFF">
      <formula>NOT(ISERROR(SEARCH("OFF",N178)))</formula>
    </cfRule>
  </conditionalFormatting>
  <conditionalFormatting sqref="L167:U167">
    <cfRule type="containsText" dxfId="430" priority="716" operator="containsText" text="OFF">
      <formula>NOT(ISERROR(SEARCH("OFF",L167)))</formula>
    </cfRule>
  </conditionalFormatting>
  <conditionalFormatting sqref="R176:S176">
    <cfRule type="containsText" dxfId="429" priority="601" operator="containsText" text="OFF">
      <formula>NOT(ISERROR(SEARCH("OFF",R176)))</formula>
    </cfRule>
  </conditionalFormatting>
  <conditionalFormatting sqref="V175:W175">
    <cfRule type="containsText" dxfId="428" priority="605" operator="containsText" text="OFF">
      <formula>NOT(ISERROR(SEARCH("OFF",V175)))</formula>
    </cfRule>
  </conditionalFormatting>
  <conditionalFormatting sqref="V170:W170">
    <cfRule type="containsText" dxfId="427" priority="709" operator="containsText" text="OFF">
      <formula>NOT(ISERROR(SEARCH("OFF",V170)))</formula>
    </cfRule>
  </conditionalFormatting>
  <conditionalFormatting sqref="L171:U171">
    <cfRule type="containsText" dxfId="426" priority="708" operator="containsText" text="OFF">
      <formula>NOT(ISERROR(SEARCH("OFF",L171)))</formula>
    </cfRule>
  </conditionalFormatting>
  <conditionalFormatting sqref="L183:M183">
    <cfRule type="containsText" dxfId="425" priority="562" operator="containsText" text="OFF">
      <formula>NOT(ISERROR(SEARCH("OFF",L183)))</formula>
    </cfRule>
  </conditionalFormatting>
  <conditionalFormatting sqref="N176:O176">
    <cfRule type="containsText" dxfId="424" priority="603" operator="containsText" text="OFF">
      <formula>NOT(ISERROR(SEARCH("OFF",N176)))</formula>
    </cfRule>
  </conditionalFormatting>
  <conditionalFormatting sqref="R175:S175">
    <cfRule type="containsText" dxfId="423" priority="607" operator="containsText" text="OFF">
      <formula>NOT(ISERROR(SEARCH("OFF",R175)))</formula>
    </cfRule>
  </conditionalFormatting>
  <conditionalFormatting sqref="R173:S173">
    <cfRule type="containsText" dxfId="422" priority="619" operator="containsText" text="OFF">
      <formula>NOT(ISERROR(SEARCH("OFF",R173)))</formula>
    </cfRule>
  </conditionalFormatting>
  <conditionalFormatting sqref="L173:M173">
    <cfRule type="containsText" dxfId="421" priority="622" operator="containsText" text="OFF">
      <formula>NOT(ISERROR(SEARCH("OFF",L173)))</formula>
    </cfRule>
  </conditionalFormatting>
  <conditionalFormatting sqref="V172:W172">
    <cfRule type="containsText" dxfId="420" priority="623" operator="containsText" text="OFF">
      <formula>NOT(ISERROR(SEARCH("OFF",V172)))</formula>
    </cfRule>
  </conditionalFormatting>
  <conditionalFormatting sqref="R170:S170">
    <cfRule type="containsText" dxfId="419" priority="627" operator="containsText" text="OFF">
      <formula>NOT(ISERROR(SEARCH("OFF",R170)))</formula>
    </cfRule>
  </conditionalFormatting>
  <conditionalFormatting sqref="V169:W169">
    <cfRule type="containsText" dxfId="418" priority="631" operator="containsText" text="OFF">
      <formula>NOT(ISERROR(SEARCH("OFF",V169)))</formula>
    </cfRule>
  </conditionalFormatting>
  <conditionalFormatting sqref="T163:U163">
    <cfRule type="containsText" dxfId="417" priority="651" operator="containsText" text="OFF">
      <formula>NOT(ISERROR(SEARCH("OFF",T163)))</formula>
    </cfRule>
  </conditionalFormatting>
  <conditionalFormatting sqref="P163:Q163">
    <cfRule type="containsText" dxfId="416" priority="653" operator="containsText" text="OFF">
      <formula>NOT(ISERROR(SEARCH("OFF",P163)))</formula>
    </cfRule>
  </conditionalFormatting>
  <conditionalFormatting sqref="N163:O163">
    <cfRule type="containsText" dxfId="415" priority="654" operator="containsText" text="OFF">
      <formula>NOT(ISERROR(SEARCH("OFF",N163)))</formula>
    </cfRule>
  </conditionalFormatting>
  <conditionalFormatting sqref="V160:W160">
    <cfRule type="containsText" dxfId="414" priority="658" operator="containsText" text="OFF">
      <formula>NOT(ISERROR(SEARCH("OFF",V160)))</formula>
    </cfRule>
  </conditionalFormatting>
  <conditionalFormatting sqref="L160:M160">
    <cfRule type="containsText" dxfId="413" priority="662" operator="containsText" text="OFF">
      <formula>NOT(ISERROR(SEARCH("OFF",L160)))</formula>
    </cfRule>
  </conditionalFormatting>
  <conditionalFormatting sqref="L190:M190">
    <cfRule type="containsText" dxfId="412" priority="521" operator="containsText" text="OFF">
      <formula>NOT(ISERROR(SEARCH("OFF",L190)))</formula>
    </cfRule>
  </conditionalFormatting>
  <conditionalFormatting sqref="V182:W182">
    <cfRule type="containsText" dxfId="411" priority="563" operator="containsText" text="OFF">
      <formula>NOT(ISERROR(SEARCH("OFF",V182)))</formula>
    </cfRule>
  </conditionalFormatting>
  <conditionalFormatting sqref="R163:S163">
    <cfRule type="containsText" dxfId="410" priority="652" operator="containsText" text="OFF">
      <formula>NOT(ISERROR(SEARCH("OFF",R163)))</formula>
    </cfRule>
  </conditionalFormatting>
  <conditionalFormatting sqref="V163:W163">
    <cfRule type="containsText" dxfId="409" priority="650" operator="containsText" text="OFF">
      <formula>NOT(ISERROR(SEARCH("OFF",V163)))</formula>
    </cfRule>
  </conditionalFormatting>
  <conditionalFormatting sqref="T165:U165">
    <cfRule type="containsText" dxfId="408" priority="646" operator="containsText" text="OFF">
      <formula>NOT(ISERROR(SEARCH("OFF",T165)))</formula>
    </cfRule>
  </conditionalFormatting>
  <conditionalFormatting sqref="V165:W165">
    <cfRule type="containsText" dxfId="407" priority="645" operator="containsText" text="OFF">
      <formula>NOT(ISERROR(SEARCH("OFF",V165)))</formula>
    </cfRule>
  </conditionalFormatting>
  <conditionalFormatting sqref="V166:W166">
    <cfRule type="containsText" dxfId="406" priority="640" operator="containsText" text="OFF">
      <formula>NOT(ISERROR(SEARCH("OFF",V166)))</formula>
    </cfRule>
  </conditionalFormatting>
  <conditionalFormatting sqref="L169:M169">
    <cfRule type="containsText" dxfId="405" priority="636" operator="containsText" text="OFF">
      <formula>NOT(ISERROR(SEARCH("OFF",L169)))</formula>
    </cfRule>
  </conditionalFormatting>
  <conditionalFormatting sqref="P169:Q169">
    <cfRule type="containsText" dxfId="404" priority="634" operator="containsText" text="OFF">
      <formula>NOT(ISERROR(SEARCH("OFF",P169)))</formula>
    </cfRule>
  </conditionalFormatting>
  <conditionalFormatting sqref="R169:S169">
    <cfRule type="containsText" dxfId="403" priority="633" operator="containsText" text="OFF">
      <formula>NOT(ISERROR(SEARCH("OFF",R169)))</formula>
    </cfRule>
  </conditionalFormatting>
  <conditionalFormatting sqref="T169:U169">
    <cfRule type="containsText" dxfId="402" priority="632" operator="containsText" text="OFF">
      <formula>NOT(ISERROR(SEARCH("OFF",T169)))</formula>
    </cfRule>
  </conditionalFormatting>
  <conditionalFormatting sqref="L170:M170">
    <cfRule type="containsText" dxfId="401" priority="630" operator="containsText" text="OFF">
      <formula>NOT(ISERROR(SEARCH("OFF",L170)))</formula>
    </cfRule>
  </conditionalFormatting>
  <conditionalFormatting sqref="N170:O170">
    <cfRule type="containsText" dxfId="400" priority="629" operator="containsText" text="OFF">
      <formula>NOT(ISERROR(SEARCH("OFF",N170)))</formula>
    </cfRule>
  </conditionalFormatting>
  <conditionalFormatting sqref="P170:Q170">
    <cfRule type="containsText" dxfId="399" priority="628" operator="containsText" text="OFF">
      <formula>NOT(ISERROR(SEARCH("OFF",P170)))</formula>
    </cfRule>
  </conditionalFormatting>
  <conditionalFormatting sqref="T170:U170">
    <cfRule type="containsText" dxfId="398" priority="626" operator="containsText" text="OFF">
      <formula>NOT(ISERROR(SEARCH("OFF",T170)))</formula>
    </cfRule>
  </conditionalFormatting>
  <conditionalFormatting sqref="P183:Q183">
    <cfRule type="containsText" dxfId="397" priority="560" operator="containsText" text="OFF">
      <formula>NOT(ISERROR(SEARCH("OFF",P183)))</formula>
    </cfRule>
  </conditionalFormatting>
  <conditionalFormatting sqref="N173:O173">
    <cfRule type="containsText" dxfId="396" priority="621" operator="containsText" text="OFF">
      <formula>NOT(ISERROR(SEARCH("OFF",N173)))</formula>
    </cfRule>
  </conditionalFormatting>
  <conditionalFormatting sqref="P173:Q173">
    <cfRule type="containsText" dxfId="395" priority="620" operator="containsText" text="OFF">
      <formula>NOT(ISERROR(SEARCH("OFF",P173)))</formula>
    </cfRule>
  </conditionalFormatting>
  <conditionalFormatting sqref="T173:U173">
    <cfRule type="containsText" dxfId="394" priority="618" operator="containsText" text="OFF">
      <formula>NOT(ISERROR(SEARCH("OFF",T173)))</formula>
    </cfRule>
  </conditionalFormatting>
  <conditionalFormatting sqref="V173:W173">
    <cfRule type="containsText" dxfId="393" priority="617" operator="containsText" text="OFF">
      <formula>NOT(ISERROR(SEARCH("OFF",V173)))</formula>
    </cfRule>
  </conditionalFormatting>
  <conditionalFormatting sqref="V184:W184">
    <cfRule type="containsText" dxfId="392" priority="553" operator="containsText" text="OFF">
      <formula>NOT(ISERROR(SEARCH("OFF",V184)))</formula>
    </cfRule>
  </conditionalFormatting>
  <conditionalFormatting sqref="L175:M175">
    <cfRule type="containsText" dxfId="391" priority="610" operator="containsText" text="OFF">
      <formula>NOT(ISERROR(SEARCH("OFF",L175)))</formula>
    </cfRule>
  </conditionalFormatting>
  <conditionalFormatting sqref="N175:O175">
    <cfRule type="containsText" dxfId="390" priority="609" operator="containsText" text="OFF">
      <formula>NOT(ISERROR(SEARCH("OFF",N175)))</formula>
    </cfRule>
  </conditionalFormatting>
  <conditionalFormatting sqref="P175:Q175">
    <cfRule type="containsText" dxfId="389" priority="608" operator="containsText" text="OFF">
      <formula>NOT(ISERROR(SEARCH("OFF",P175)))</formula>
    </cfRule>
  </conditionalFormatting>
  <conditionalFormatting sqref="T175:U175">
    <cfRule type="containsText" dxfId="388" priority="606" operator="containsText" text="OFF">
      <formula>NOT(ISERROR(SEARCH("OFF",T175)))</formula>
    </cfRule>
  </conditionalFormatting>
  <conditionalFormatting sqref="L176:M176">
    <cfRule type="containsText" dxfId="387" priority="604" operator="containsText" text="OFF">
      <formula>NOT(ISERROR(SEARCH("OFF",L176)))</formula>
    </cfRule>
  </conditionalFormatting>
  <conditionalFormatting sqref="P176:Q176">
    <cfRule type="containsText" dxfId="386" priority="602" operator="containsText" text="OFF">
      <formula>NOT(ISERROR(SEARCH("OFF",P176)))</formula>
    </cfRule>
  </conditionalFormatting>
  <conditionalFormatting sqref="T176:U176">
    <cfRule type="containsText" dxfId="385" priority="600" operator="containsText" text="OFF">
      <formula>NOT(ISERROR(SEARCH("OFF",T176)))</formula>
    </cfRule>
  </conditionalFormatting>
  <conditionalFormatting sqref="V176:W176">
    <cfRule type="containsText" dxfId="384" priority="599" operator="containsText" text="OFF">
      <formula>NOT(ISERROR(SEARCH("OFF",V176)))</formula>
    </cfRule>
  </conditionalFormatting>
  <conditionalFormatting sqref="T178:U178">
    <cfRule type="containsText" dxfId="383" priority="588" operator="containsText" text="OFF">
      <formula>NOT(ISERROR(SEARCH("OFF",T178)))</formula>
    </cfRule>
  </conditionalFormatting>
  <conditionalFormatting sqref="V178:W178">
    <cfRule type="containsText" dxfId="382" priority="587" operator="containsText" text="OFF">
      <formula>NOT(ISERROR(SEARCH("OFF",V178)))</formula>
    </cfRule>
  </conditionalFormatting>
  <conditionalFormatting sqref="T186:U186">
    <cfRule type="containsText" dxfId="381" priority="541" operator="containsText" text="OFF">
      <formula>NOT(ISERROR(SEARCH("OFF",T186)))</formula>
    </cfRule>
  </conditionalFormatting>
  <conditionalFormatting sqref="P179:Q179">
    <cfRule type="containsText" dxfId="380" priority="584" operator="containsText" text="OFF">
      <formula>NOT(ISERROR(SEARCH("OFF",P179)))</formula>
    </cfRule>
  </conditionalFormatting>
  <conditionalFormatting sqref="R179:S179">
    <cfRule type="containsText" dxfId="379" priority="583" operator="containsText" text="OFF">
      <formula>NOT(ISERROR(SEARCH("OFF",R179)))</formula>
    </cfRule>
  </conditionalFormatting>
  <conditionalFormatting sqref="T179:U179">
    <cfRule type="containsText" dxfId="378" priority="582" operator="containsText" text="OFF">
      <formula>NOT(ISERROR(SEARCH("OFF",T179)))</formula>
    </cfRule>
  </conditionalFormatting>
  <conditionalFormatting sqref="V179:W179">
    <cfRule type="containsText" dxfId="377" priority="581" operator="containsText" text="OFF">
      <formula>NOT(ISERROR(SEARCH("OFF",V179)))</formula>
    </cfRule>
  </conditionalFormatting>
  <conditionalFormatting sqref="P180:Q180">
    <cfRule type="containsText" dxfId="376" priority="578" operator="containsText" text="OFF">
      <formula>NOT(ISERROR(SEARCH("OFF",P180)))</formula>
    </cfRule>
  </conditionalFormatting>
  <conditionalFormatting sqref="R187:S187">
    <cfRule type="containsText" dxfId="375" priority="536" operator="containsText" text="OFF">
      <formula>NOT(ISERROR(SEARCH("OFF",R187)))</formula>
    </cfRule>
  </conditionalFormatting>
  <conditionalFormatting sqref="T187:U187">
    <cfRule type="containsText" dxfId="374" priority="535" operator="containsText" text="OFF">
      <formula>NOT(ISERROR(SEARCH("OFF",T187)))</formula>
    </cfRule>
  </conditionalFormatting>
  <conditionalFormatting sqref="N183:O183">
    <cfRule type="containsText" dxfId="373" priority="561" operator="containsText" text="OFF">
      <formula>NOT(ISERROR(SEARCH("OFF",N183)))</formula>
    </cfRule>
  </conditionalFormatting>
  <conditionalFormatting sqref="L187:M187">
    <cfRule type="containsText" dxfId="372" priority="539" operator="containsText" text="OFF">
      <formula>NOT(ISERROR(SEARCH("OFF",L187)))</formula>
    </cfRule>
  </conditionalFormatting>
  <conditionalFormatting sqref="N187:O187">
    <cfRule type="containsText" dxfId="371" priority="538" operator="containsText" text="OFF">
      <formula>NOT(ISERROR(SEARCH("OFF",N187)))</formula>
    </cfRule>
  </conditionalFormatting>
  <conditionalFormatting sqref="V187:W187">
    <cfRule type="containsText" dxfId="370" priority="534" operator="containsText" text="OFF">
      <formula>NOT(ISERROR(SEARCH("OFF",V187)))</formula>
    </cfRule>
  </conditionalFormatting>
  <conditionalFormatting sqref="N190:O190">
    <cfRule type="containsText" dxfId="369" priority="520" operator="containsText" text="OFF">
      <formula>NOT(ISERROR(SEARCH("OFF",N190)))</formula>
    </cfRule>
  </conditionalFormatting>
  <conditionalFormatting sqref="P190:Q190">
    <cfRule type="containsText" dxfId="368" priority="519" operator="containsText" text="OFF">
      <formula>NOT(ISERROR(SEARCH("OFF",P190)))</formula>
    </cfRule>
  </conditionalFormatting>
  <conditionalFormatting sqref="R190:S190">
    <cfRule type="containsText" dxfId="367" priority="518" operator="containsText" text="OFF">
      <formula>NOT(ISERROR(SEARCH("OFF",R190)))</formula>
    </cfRule>
  </conditionalFormatting>
  <conditionalFormatting sqref="T190:U190">
    <cfRule type="containsText" dxfId="366" priority="517" operator="containsText" text="OFF">
      <formula>NOT(ISERROR(SEARCH("OFF",T190)))</formula>
    </cfRule>
  </conditionalFormatting>
  <conditionalFormatting sqref="V190:W190">
    <cfRule type="containsText" dxfId="365" priority="516" operator="containsText" text="OFF">
      <formula>NOT(ISERROR(SEARCH("OFF",V190)))</formula>
    </cfRule>
  </conditionalFormatting>
  <conditionalFormatting sqref="X56:Y56">
    <cfRule type="containsText" dxfId="364" priority="483" operator="containsText" text="OFF">
      <formula>NOT(ISERROR(SEARCH("OFF",X56)))</formula>
    </cfRule>
  </conditionalFormatting>
  <conditionalFormatting sqref="X57:Y58">
    <cfRule type="containsText" dxfId="363" priority="482" operator="containsText" text="OFF">
      <formula>NOT(ISERROR(SEARCH("OFF",X57)))</formula>
    </cfRule>
  </conditionalFormatting>
  <conditionalFormatting sqref="R16">
    <cfRule type="containsText" dxfId="362" priority="511" operator="containsText" text="OFF">
      <formula>NOT(ISERROR(SEARCH("OFF",R16)))</formula>
    </cfRule>
  </conditionalFormatting>
  <conditionalFormatting sqref="R16:U16">
    <cfRule type="containsText" dxfId="361" priority="510" operator="containsText" text="OFF">
      <formula>NOT(ISERROR(SEARCH("OFF",R16)))</formula>
    </cfRule>
  </conditionalFormatting>
  <conditionalFormatting sqref="R286:U287 R288:S288">
    <cfRule type="containsText" dxfId="360" priority="506" operator="containsText" text="OFF">
      <formula>NOT(ISERROR(SEARCH("OFF",R286)))</formula>
    </cfRule>
  </conditionalFormatting>
  <conditionalFormatting sqref="X30:Y45 X62:Y68">
    <cfRule type="containsText" dxfId="359" priority="503" operator="containsText" text="OFF">
      <formula>NOT(ISERROR(SEARCH("OFF",X30)))</formula>
    </cfRule>
  </conditionalFormatting>
  <conditionalFormatting sqref="X46:Y46">
    <cfRule type="containsText" dxfId="358" priority="489" operator="containsText" text="OFF">
      <formula>NOT(ISERROR(SEARCH("OFF",X46)))</formula>
    </cfRule>
  </conditionalFormatting>
  <conditionalFormatting sqref="X48:Y48">
    <cfRule type="containsText" dxfId="357" priority="488" operator="containsText" text="OFF">
      <formula>NOT(ISERROR(SEARCH("OFF",X48)))</formula>
    </cfRule>
  </conditionalFormatting>
  <conditionalFormatting sqref="X47:Y47">
    <cfRule type="containsText" dxfId="356" priority="487" operator="containsText" text="OFF">
      <formula>NOT(ISERROR(SEARCH("OFF",X47)))</formula>
    </cfRule>
  </conditionalFormatting>
  <conditionalFormatting sqref="X49:Y53">
    <cfRule type="containsText" dxfId="355" priority="486" operator="containsText" text="OFF">
      <formula>NOT(ISERROR(SEARCH("OFF",X49)))</formula>
    </cfRule>
  </conditionalFormatting>
  <conditionalFormatting sqref="X54:Y54">
    <cfRule type="containsText" dxfId="354" priority="485" operator="containsText" text="OFF">
      <formula>NOT(ISERROR(SEARCH("OFF",X54)))</formula>
    </cfRule>
  </conditionalFormatting>
  <conditionalFormatting sqref="X55:Y55">
    <cfRule type="containsText" dxfId="353" priority="484" operator="containsText" text="OFF">
      <formula>NOT(ISERROR(SEARCH("OFF",X55)))</formula>
    </cfRule>
  </conditionalFormatting>
  <conditionalFormatting sqref="X59:Y59">
    <cfRule type="containsText" dxfId="352" priority="481" operator="containsText" text="OFF">
      <formula>NOT(ISERROR(SEARCH("OFF",X59)))</formula>
    </cfRule>
  </conditionalFormatting>
  <conditionalFormatting sqref="X60:Y60">
    <cfRule type="containsText" dxfId="351" priority="480" operator="containsText" text="OFF">
      <formula>NOT(ISERROR(SEARCH("OFF",X60)))</formula>
    </cfRule>
  </conditionalFormatting>
  <conditionalFormatting sqref="X61:Y61">
    <cfRule type="containsText" dxfId="350" priority="479" operator="containsText" text="OFF">
      <formula>NOT(ISERROR(SEARCH("OFF",X61)))</formula>
    </cfRule>
  </conditionalFormatting>
  <conditionalFormatting sqref="X69:Y69">
    <cfRule type="containsText" dxfId="349" priority="476" operator="containsText" text="OFF">
      <formula>NOT(ISERROR(SEARCH("OFF",X69)))</formula>
    </cfRule>
  </conditionalFormatting>
  <conditionalFormatting sqref="V130:W130">
    <cfRule type="containsText" dxfId="348" priority="337" operator="containsText" text="OFF">
      <formula>NOT(ISERROR(SEARCH("OFF",V130)))</formula>
    </cfRule>
  </conditionalFormatting>
  <conditionalFormatting sqref="T130:U130">
    <cfRule type="containsText" dxfId="347" priority="338" operator="containsText" text="OFF">
      <formula>NOT(ISERROR(SEARCH("OFF",T130)))</formula>
    </cfRule>
  </conditionalFormatting>
  <conditionalFormatting sqref="L116:U116">
    <cfRule type="containsText" dxfId="346" priority="348" operator="containsText" text="OFF">
      <formula>NOT(ISERROR(SEARCH("OFF",L116)))</formula>
    </cfRule>
  </conditionalFormatting>
  <conditionalFormatting sqref="T296:U296">
    <cfRule type="containsText" dxfId="345" priority="398" operator="containsText" text="OFF">
      <formula>NOT(ISERROR(SEARCH("OFF",T296)))</formula>
    </cfRule>
  </conditionalFormatting>
  <conditionalFormatting sqref="V296:Y296">
    <cfRule type="containsText" dxfId="344" priority="397" operator="containsText" text="OFF">
      <formula>NOT(ISERROR(SEARCH("OFF",V296)))</formula>
    </cfRule>
  </conditionalFormatting>
  <conditionalFormatting sqref="M8:U8">
    <cfRule type="containsText" dxfId="343" priority="392" operator="containsText" text="OFF">
      <formula>NOT(ISERROR(SEARCH("OFF",M8)))</formula>
    </cfRule>
  </conditionalFormatting>
  <conditionalFormatting sqref="L15 N15 P15 R15">
    <cfRule type="containsText" dxfId="342" priority="391" operator="containsText" text="OFF">
      <formula>NOT(ISERROR(SEARCH("OFF",L15)))</formula>
    </cfRule>
  </conditionalFormatting>
  <conditionalFormatting sqref="M15:U15">
    <cfRule type="containsText" dxfId="341" priority="390" operator="containsText" text="OFF">
      <formula>NOT(ISERROR(SEARCH("OFF",M15)))</formula>
    </cfRule>
  </conditionalFormatting>
  <conditionalFormatting sqref="V92:W92">
    <cfRule type="containsText" dxfId="340" priority="388" operator="containsText" text="OFF">
      <formula>NOT(ISERROR(SEARCH("OFF",V92)))</formula>
    </cfRule>
  </conditionalFormatting>
  <conditionalFormatting sqref="M112:W112">
    <cfRule type="containsText" dxfId="339" priority="332" operator="containsText" text="OFF">
      <formula>NOT(ISERROR(SEARCH("OFF",M112)))</formula>
    </cfRule>
  </conditionalFormatting>
  <conditionalFormatting sqref="X92:Y92">
    <cfRule type="containsText" dxfId="338" priority="441" operator="containsText" text="OFF">
      <formula>NOT(ISERROR(SEARCH("OFF",X92)))</formula>
    </cfRule>
  </conditionalFormatting>
  <conditionalFormatting sqref="T122:U122">
    <cfRule type="containsText" dxfId="337" priority="340" operator="containsText" text="OFF">
      <formula>NOT(ISERROR(SEARCH("OFF",T122)))</formula>
    </cfRule>
  </conditionalFormatting>
  <conditionalFormatting sqref="L117:W117">
    <cfRule type="containsText" dxfId="336" priority="336" operator="containsText" text="OFF">
      <formula>NOT(ISERROR(SEARCH("OFF",L117)))</formula>
    </cfRule>
  </conditionalFormatting>
  <conditionalFormatting sqref="X93">
    <cfRule type="containsText" dxfId="335" priority="437" operator="containsText" text="OFF">
      <formula>NOT(ISERROR(SEARCH("OFF",X93)))</formula>
    </cfRule>
  </conditionalFormatting>
  <conditionalFormatting sqref="X95">
    <cfRule type="containsText" dxfId="334" priority="435" operator="containsText" text="OFF">
      <formula>NOT(ISERROR(SEARCH("OFF",X95)))</formula>
    </cfRule>
  </conditionalFormatting>
  <conditionalFormatting sqref="N161:O161">
    <cfRule type="containsText" dxfId="333" priority="323" operator="containsText" text="OFF">
      <formula>NOT(ISERROR(SEARCH("OFF",N161)))</formula>
    </cfRule>
  </conditionalFormatting>
  <conditionalFormatting sqref="V128:W128">
    <cfRule type="containsText" dxfId="332" priority="347" operator="containsText" text="OFF">
      <formula>NOT(ISERROR(SEARCH("OFF",V128)))</formula>
    </cfRule>
  </conditionalFormatting>
  <conditionalFormatting sqref="L128:U128">
    <cfRule type="containsText" dxfId="331" priority="346" operator="containsText" text="OFF">
      <formula>NOT(ISERROR(SEARCH("OFF",L128)))</formula>
    </cfRule>
  </conditionalFormatting>
  <conditionalFormatting sqref="V129:W129">
    <cfRule type="containsText" dxfId="330" priority="345" operator="containsText" text="OFF">
      <formula>NOT(ISERROR(SEARCH("OFF",V129)))</formula>
    </cfRule>
  </conditionalFormatting>
  <conditionalFormatting sqref="L115:U115">
    <cfRule type="containsText" dxfId="329" priority="350" operator="containsText" text="OFF">
      <formula>NOT(ISERROR(SEARCH("OFF",L115)))</formula>
    </cfRule>
  </conditionalFormatting>
  <conditionalFormatting sqref="V116:W116">
    <cfRule type="containsText" dxfId="328" priority="349" operator="containsText" text="OFF">
      <formula>NOT(ISERROR(SEARCH("OFF",V116)))</formula>
    </cfRule>
  </conditionalFormatting>
  <conditionalFormatting sqref="V114:W114">
    <cfRule type="containsText" dxfId="327" priority="353" operator="containsText" text="OFF">
      <formula>NOT(ISERROR(SEARCH("OFF",V114)))</formula>
    </cfRule>
  </conditionalFormatting>
  <conditionalFormatting sqref="L108:U108">
    <cfRule type="containsText" dxfId="326" priority="364" operator="containsText" text="OFF">
      <formula>NOT(ISERROR(SEARCH("OFF",L108)))</formula>
    </cfRule>
  </conditionalFormatting>
  <conditionalFormatting sqref="V141:W141">
    <cfRule type="containsText" dxfId="325" priority="420" operator="containsText" text="OFF">
      <formula>NOT(ISERROR(SEARCH("OFF",V141)))</formula>
    </cfRule>
  </conditionalFormatting>
  <conditionalFormatting sqref="B293">
    <cfRule type="expression" dxfId="324" priority="419">
      <formula>#REF!="OUI"</formula>
    </cfRule>
  </conditionalFormatting>
  <conditionalFormatting sqref="X293:Y293">
    <cfRule type="containsText" dxfId="323" priority="415" operator="containsText" text="OFF">
      <formula>NOT(ISERROR(SEARCH("OFF",X293)))</formula>
    </cfRule>
  </conditionalFormatting>
  <conditionalFormatting sqref="V122:W122">
    <cfRule type="containsText" dxfId="322" priority="339" operator="containsText" text="OFF">
      <formula>NOT(ISERROR(SEARCH("OFF",V122)))</formula>
    </cfRule>
  </conditionalFormatting>
  <conditionalFormatting sqref="B294">
    <cfRule type="expression" dxfId="321" priority="412">
      <formula>#REF!="OUI"</formula>
    </cfRule>
  </conditionalFormatting>
  <conditionalFormatting sqref="X294:Y294">
    <cfRule type="containsText" dxfId="320" priority="409" operator="containsText" text="OFF">
      <formula>NOT(ISERROR(SEARCH("OFF",X294)))</formula>
    </cfRule>
  </conditionalFormatting>
  <conditionalFormatting sqref="L135:U135">
    <cfRule type="containsText" dxfId="319" priority="333" operator="containsText" text="OFF">
      <formula>NOT(ISERROR(SEARCH("OFF",L135)))</formula>
    </cfRule>
  </conditionalFormatting>
  <conditionalFormatting sqref="E295">
    <cfRule type="duplicateValues" dxfId="318" priority="406"/>
  </conditionalFormatting>
  <conditionalFormatting sqref="B295">
    <cfRule type="expression" dxfId="317" priority="405">
      <formula>#REF!="OUI"</formula>
    </cfRule>
  </conditionalFormatting>
  <conditionalFormatting sqref="E296">
    <cfRule type="duplicateValues" dxfId="316" priority="404"/>
  </conditionalFormatting>
  <conditionalFormatting sqref="B296">
    <cfRule type="expression" dxfId="315" priority="403">
      <formula>#REF!="OUI"</formula>
    </cfRule>
  </conditionalFormatting>
  <conditionalFormatting sqref="X295:Y295">
    <cfRule type="containsText" dxfId="314" priority="401" operator="containsText" text="OFF">
      <formula>NOT(ISERROR(SEARCH("OFF",X295)))</formula>
    </cfRule>
  </conditionalFormatting>
  <conditionalFormatting sqref="L161:M161">
    <cfRule type="containsText" dxfId="313" priority="325" operator="containsText" text="OFF">
      <formula>NOT(ISERROR(SEARCH("OFF",L161)))</formula>
    </cfRule>
  </conditionalFormatting>
  <conditionalFormatting sqref="R161:S161">
    <cfRule type="containsText" dxfId="312" priority="321" operator="containsText" text="OFF">
      <formula>NOT(ISERROR(SEARCH("OFF",R161)))</formula>
    </cfRule>
  </conditionalFormatting>
  <conditionalFormatting sqref="T6:U6">
    <cfRule type="containsText" dxfId="311" priority="394" operator="containsText" text="OFF">
      <formula>NOT(ISERROR(SEARCH("OFF",T6)))</formula>
    </cfRule>
  </conditionalFormatting>
  <conditionalFormatting sqref="L8 N8 P8 R8">
    <cfRule type="containsText" dxfId="310" priority="393" operator="containsText" text="OFF">
      <formula>NOT(ISERROR(SEARCH("OFF",L8)))</formula>
    </cfRule>
  </conditionalFormatting>
  <conditionalFormatting sqref="L112">
    <cfRule type="containsText" dxfId="309" priority="354" operator="containsText" text="OFF">
      <formula>NOT(ISERROR(SEARCH("OFF",L112)))</formula>
    </cfRule>
  </conditionalFormatting>
  <conditionalFormatting sqref="P137:Q137">
    <cfRule type="containsText" dxfId="308" priority="370" operator="containsText" text="OFF">
      <formula>NOT(ISERROR(SEARCH("OFF",P137)))</formula>
    </cfRule>
  </conditionalFormatting>
  <conditionalFormatting sqref="R137:S137">
    <cfRule type="containsText" dxfId="307" priority="369" operator="containsText" text="OFF">
      <formula>NOT(ISERROR(SEARCH("OFF",R137)))</formula>
    </cfRule>
  </conditionalFormatting>
  <conditionalFormatting sqref="T137:U137">
    <cfRule type="containsText" dxfId="306" priority="368" operator="containsText" text="OFF">
      <formula>NOT(ISERROR(SEARCH("OFF",T137)))</formula>
    </cfRule>
  </conditionalFormatting>
  <conditionalFormatting sqref="V107:W107">
    <cfRule type="containsText" dxfId="305" priority="367" operator="containsText" text="OFF">
      <formula>NOT(ISERROR(SEARCH("OFF",V107)))</formula>
    </cfRule>
  </conditionalFormatting>
  <conditionalFormatting sqref="L107:U107">
    <cfRule type="containsText" dxfId="304" priority="366" operator="containsText" text="OFF">
      <formula>NOT(ISERROR(SEARCH("OFF",L107)))</formula>
    </cfRule>
  </conditionalFormatting>
  <conditionalFormatting sqref="V108:W108">
    <cfRule type="containsText" dxfId="303" priority="365" operator="containsText" text="OFF">
      <formula>NOT(ISERROR(SEARCH("OFF",V108)))</formula>
    </cfRule>
  </conditionalFormatting>
  <conditionalFormatting sqref="V109:W109">
    <cfRule type="containsText" dxfId="302" priority="361" operator="containsText" text="OFF">
      <formula>NOT(ISERROR(SEARCH("OFF",V109)))</formula>
    </cfRule>
  </conditionalFormatting>
  <conditionalFormatting sqref="L109:U109">
    <cfRule type="containsText" dxfId="301" priority="360" operator="containsText" text="OFF">
      <formula>NOT(ISERROR(SEARCH("OFF",L109)))</formula>
    </cfRule>
  </conditionalFormatting>
  <conditionalFormatting sqref="V110:W110">
    <cfRule type="containsText" dxfId="300" priority="359" operator="containsText" text="OFF">
      <formula>NOT(ISERROR(SEARCH("OFF",V110)))</formula>
    </cfRule>
  </conditionalFormatting>
  <conditionalFormatting sqref="L110:U110">
    <cfRule type="containsText" dxfId="299" priority="358" operator="containsText" text="OFF">
      <formula>NOT(ISERROR(SEARCH("OFF",L110)))</formula>
    </cfRule>
  </conditionalFormatting>
  <conditionalFormatting sqref="V111:W111">
    <cfRule type="containsText" dxfId="298" priority="357" operator="containsText" text="OFF">
      <formula>NOT(ISERROR(SEARCH("OFF",V111)))</formula>
    </cfRule>
  </conditionalFormatting>
  <conditionalFormatting sqref="L111:U111">
    <cfRule type="containsText" dxfId="297" priority="356" operator="containsText" text="OFF">
      <formula>NOT(ISERROR(SEARCH("OFF",L111)))</formula>
    </cfRule>
  </conditionalFormatting>
  <conditionalFormatting sqref="P184:Q184">
    <cfRule type="containsText" dxfId="296" priority="255" operator="containsText" text="OFF">
      <formula>NOT(ISERROR(SEARCH("OFF",P184)))</formula>
    </cfRule>
  </conditionalFormatting>
  <conditionalFormatting sqref="L114:U114">
    <cfRule type="containsText" dxfId="295" priority="352" operator="containsText" text="OFF">
      <formula>NOT(ISERROR(SEARCH("OFF",L114)))</formula>
    </cfRule>
  </conditionalFormatting>
  <conditionalFormatting sqref="V115:W115">
    <cfRule type="containsText" dxfId="294" priority="351" operator="containsText" text="OFF">
      <formula>NOT(ISERROR(SEARCH("OFF",V115)))</formula>
    </cfRule>
  </conditionalFormatting>
  <conditionalFormatting sqref="L129:U129">
    <cfRule type="containsText" dxfId="293" priority="344" operator="containsText" text="OFF">
      <formula>NOT(ISERROR(SEARCH("OFF",L129)))</formula>
    </cfRule>
  </conditionalFormatting>
  <conditionalFormatting sqref="L130:S130">
    <cfRule type="containsText" dxfId="292" priority="342" operator="containsText" text="OFF">
      <formula>NOT(ISERROR(SEARCH("OFF",L130)))</formula>
    </cfRule>
  </conditionalFormatting>
  <conditionalFormatting sqref="V102:W102">
    <cfRule type="containsText" dxfId="291" priority="341" operator="containsText" text="OFF">
      <formula>NOT(ISERROR(SEARCH("OFF",V102)))</formula>
    </cfRule>
  </conditionalFormatting>
  <conditionalFormatting sqref="T138:U138">
    <cfRule type="containsText" dxfId="290" priority="335" operator="containsText" text="OFF">
      <formula>NOT(ISERROR(SEARCH("OFF",T138)))</formula>
    </cfRule>
  </conditionalFormatting>
  <conditionalFormatting sqref="E138:E192">
    <cfRule type="duplicateValues" dxfId="289" priority="13564"/>
  </conditionalFormatting>
  <conditionalFormatting sqref="E11:E137">
    <cfRule type="duplicateValues" dxfId="288" priority="13567"/>
  </conditionalFormatting>
  <conditionalFormatting sqref="N113:S113">
    <cfRule type="containsText" dxfId="287" priority="331" operator="containsText" text="OFF">
      <formula>NOT(ISERROR(SEARCH("OFF",N113)))</formula>
    </cfRule>
  </conditionalFormatting>
  <conditionalFormatting sqref="L162:W162">
    <cfRule type="containsText" dxfId="286" priority="330" operator="containsText" text="OFF">
      <formula>NOT(ISERROR(SEARCH("OFF",L162)))</formula>
    </cfRule>
  </conditionalFormatting>
  <conditionalFormatting sqref="N160:O160">
    <cfRule type="containsText" dxfId="285" priority="329" operator="containsText" text="OFF">
      <formula>NOT(ISERROR(SEARCH("OFF",N160)))</formula>
    </cfRule>
  </conditionalFormatting>
  <conditionalFormatting sqref="P160:Q160">
    <cfRule type="containsText" dxfId="284" priority="328" operator="containsText" text="OFF">
      <formula>NOT(ISERROR(SEARCH("OFF",P160)))</formula>
    </cfRule>
  </conditionalFormatting>
  <conditionalFormatting sqref="R160:S160">
    <cfRule type="containsText" dxfId="283" priority="327" operator="containsText" text="OFF">
      <formula>NOT(ISERROR(SEARCH("OFF",R160)))</formula>
    </cfRule>
  </conditionalFormatting>
  <conditionalFormatting sqref="T160:U160">
    <cfRule type="containsText" dxfId="282" priority="326" operator="containsText" text="OFF">
      <formula>NOT(ISERROR(SEARCH("OFF",T160)))</formula>
    </cfRule>
  </conditionalFormatting>
  <conditionalFormatting sqref="L189:M189">
    <cfRule type="containsText" dxfId="281" priority="238" operator="containsText" text="OFF">
      <formula>NOT(ISERROR(SEARCH("OFF",L189)))</formula>
    </cfRule>
  </conditionalFormatting>
  <conditionalFormatting sqref="R189:S189">
    <cfRule type="containsText" dxfId="280" priority="235" operator="containsText" text="OFF">
      <formula>NOT(ISERROR(SEARCH("OFF",R189)))</formula>
    </cfRule>
  </conditionalFormatting>
  <conditionalFormatting sqref="T161:U161">
    <cfRule type="containsText" dxfId="279" priority="320" operator="containsText" text="OFF">
      <formula>NOT(ISERROR(SEARCH("OFF",T161)))</formula>
    </cfRule>
  </conditionalFormatting>
  <conditionalFormatting sqref="P161:Q161">
    <cfRule type="containsText" dxfId="278" priority="319" operator="containsText" text="OFF">
      <formula>NOT(ISERROR(SEARCH("OFF",P161)))</formula>
    </cfRule>
  </conditionalFormatting>
  <conditionalFormatting sqref="V161:W161">
    <cfRule type="containsText" dxfId="277" priority="318" operator="containsText" text="OFF">
      <formula>NOT(ISERROR(SEARCH("OFF",V161)))</formula>
    </cfRule>
  </conditionalFormatting>
  <conditionalFormatting sqref="L163:M163">
    <cfRule type="containsText" dxfId="276" priority="317" operator="containsText" text="OFF">
      <formula>NOT(ISERROR(SEARCH("OFF",L163)))</formula>
    </cfRule>
  </conditionalFormatting>
  <conditionalFormatting sqref="L164:M164">
    <cfRule type="containsText" dxfId="275" priority="316" operator="containsText" text="OFF">
      <formula>NOT(ISERROR(SEARCH("OFF",L164)))</formula>
    </cfRule>
  </conditionalFormatting>
  <conditionalFormatting sqref="N164:O164">
    <cfRule type="containsText" dxfId="274" priority="315" operator="containsText" text="OFF">
      <formula>NOT(ISERROR(SEARCH("OFF",N164)))</formula>
    </cfRule>
  </conditionalFormatting>
  <conditionalFormatting sqref="P164:Q164">
    <cfRule type="containsText" dxfId="273" priority="314" operator="containsText" text="OFF">
      <formula>NOT(ISERROR(SEARCH("OFF",P164)))</formula>
    </cfRule>
  </conditionalFormatting>
  <conditionalFormatting sqref="R164:S164">
    <cfRule type="containsText" dxfId="272" priority="313" operator="containsText" text="OFF">
      <formula>NOT(ISERROR(SEARCH("OFF",R164)))</formula>
    </cfRule>
  </conditionalFormatting>
  <conditionalFormatting sqref="T164:U164">
    <cfRule type="containsText" dxfId="271" priority="312" operator="containsText" text="OFF">
      <formula>NOT(ISERROR(SEARCH("OFF",T164)))</formula>
    </cfRule>
  </conditionalFormatting>
  <conditionalFormatting sqref="V164:W164">
    <cfRule type="containsText" dxfId="270" priority="311" operator="containsText" text="OFF">
      <formula>NOT(ISERROR(SEARCH("OFF",V164)))</formula>
    </cfRule>
  </conditionalFormatting>
  <conditionalFormatting sqref="L165:M165">
    <cfRule type="containsText" dxfId="269" priority="310" operator="containsText" text="OFF">
      <formula>NOT(ISERROR(SEARCH("OFF",L165)))</formula>
    </cfRule>
  </conditionalFormatting>
  <conditionalFormatting sqref="N165:O165">
    <cfRule type="containsText" dxfId="268" priority="309" operator="containsText" text="OFF">
      <formula>NOT(ISERROR(SEARCH("OFF",N165)))</formula>
    </cfRule>
  </conditionalFormatting>
  <conditionalFormatting sqref="P165:Q165">
    <cfRule type="containsText" dxfId="267" priority="308" operator="containsText" text="OFF">
      <formula>NOT(ISERROR(SEARCH("OFF",P165)))</formula>
    </cfRule>
  </conditionalFormatting>
  <conditionalFormatting sqref="R165:S165">
    <cfRule type="containsText" dxfId="266" priority="307" operator="containsText" text="OFF">
      <formula>NOT(ISERROR(SEARCH("OFF",R165)))</formula>
    </cfRule>
  </conditionalFormatting>
  <conditionalFormatting sqref="L166:M166">
    <cfRule type="containsText" dxfId="265" priority="306" operator="containsText" text="OFF">
      <formula>NOT(ISERROR(SEARCH("OFF",L166)))</formula>
    </cfRule>
  </conditionalFormatting>
  <conditionalFormatting sqref="N166:O166">
    <cfRule type="containsText" dxfId="264" priority="305" operator="containsText" text="OFF">
      <formula>NOT(ISERROR(SEARCH("OFF",N166)))</formula>
    </cfRule>
  </conditionalFormatting>
  <conditionalFormatting sqref="P166:Q166">
    <cfRule type="containsText" dxfId="263" priority="304" operator="containsText" text="OFF">
      <formula>NOT(ISERROR(SEARCH("OFF",P166)))</formula>
    </cfRule>
  </conditionalFormatting>
  <conditionalFormatting sqref="R166:S166">
    <cfRule type="containsText" dxfId="262" priority="303" operator="containsText" text="OFF">
      <formula>NOT(ISERROR(SEARCH("OFF",R166)))</formula>
    </cfRule>
  </conditionalFormatting>
  <conditionalFormatting sqref="T166:U166">
    <cfRule type="containsText" dxfId="261" priority="302" operator="containsText" text="OFF">
      <formula>NOT(ISERROR(SEARCH("OFF",T166)))</formula>
    </cfRule>
  </conditionalFormatting>
  <conditionalFormatting sqref="V171:W171">
    <cfRule type="containsText" dxfId="260" priority="301" operator="containsText" text="OFF">
      <formula>NOT(ISERROR(SEARCH("OFF",V171)))</formula>
    </cfRule>
  </conditionalFormatting>
  <conditionalFormatting sqref="L172:M172">
    <cfRule type="containsText" dxfId="259" priority="300" operator="containsText" text="OFF">
      <formula>NOT(ISERROR(SEARCH("OFF",L172)))</formula>
    </cfRule>
  </conditionalFormatting>
  <conditionalFormatting sqref="N172:O172">
    <cfRule type="containsText" dxfId="258" priority="299" operator="containsText" text="OFF">
      <formula>NOT(ISERROR(SEARCH("OFF",N172)))</formula>
    </cfRule>
  </conditionalFormatting>
  <conditionalFormatting sqref="P172:Q172">
    <cfRule type="containsText" dxfId="257" priority="298" operator="containsText" text="OFF">
      <formula>NOT(ISERROR(SEARCH("OFF",P172)))</formula>
    </cfRule>
  </conditionalFormatting>
  <conditionalFormatting sqref="R172:S172">
    <cfRule type="containsText" dxfId="256" priority="297" operator="containsText" text="OFF">
      <formula>NOT(ISERROR(SEARCH("OFF",R172)))</formula>
    </cfRule>
  </conditionalFormatting>
  <conditionalFormatting sqref="T172:U172">
    <cfRule type="containsText" dxfId="255" priority="296" operator="containsText" text="OFF">
      <formula>NOT(ISERROR(SEARCH("OFF",T172)))</formula>
    </cfRule>
  </conditionalFormatting>
  <conditionalFormatting sqref="P189:Q189">
    <cfRule type="containsText" dxfId="254" priority="236" operator="containsText" text="OFF">
      <formula>NOT(ISERROR(SEARCH("OFF",P189)))</formula>
    </cfRule>
  </conditionalFormatting>
  <conditionalFormatting sqref="T189:U189">
    <cfRule type="containsText" dxfId="253" priority="234" operator="containsText" text="OFF">
      <formula>NOT(ISERROR(SEARCH("OFF",T189)))</formula>
    </cfRule>
  </conditionalFormatting>
  <conditionalFormatting sqref="V189:W189">
    <cfRule type="containsText" dxfId="252" priority="233" operator="containsText" text="OFF">
      <formula>NOT(ISERROR(SEARCH("OFF",V189)))</formula>
    </cfRule>
  </conditionalFormatting>
  <conditionalFormatting sqref="X174:Y174">
    <cfRule type="containsText" dxfId="251" priority="291" operator="containsText" text="OFF">
      <formula>NOT(ISERROR(SEARCH("OFF",X174)))</formula>
    </cfRule>
  </conditionalFormatting>
  <conditionalFormatting sqref="T174:U174">
    <cfRule type="containsText" dxfId="250" priority="290" operator="containsText" text="OFF">
      <formula>NOT(ISERROR(SEARCH("OFF",T174)))</formula>
    </cfRule>
  </conditionalFormatting>
  <conditionalFormatting sqref="V174:W174">
    <cfRule type="containsText" dxfId="249" priority="289" operator="containsText" text="OFF">
      <formula>NOT(ISERROR(SEARCH("OFF",V174)))</formula>
    </cfRule>
  </conditionalFormatting>
  <conditionalFormatting sqref="L174:M174">
    <cfRule type="containsText" dxfId="248" priority="288" operator="containsText" text="OFF">
      <formula>NOT(ISERROR(SEARCH("OFF",L174)))</formula>
    </cfRule>
  </conditionalFormatting>
  <conditionalFormatting sqref="N174:O174">
    <cfRule type="containsText" dxfId="247" priority="287" operator="containsText" text="OFF">
      <formula>NOT(ISERROR(SEARCH("OFF",N174)))</formula>
    </cfRule>
  </conditionalFormatting>
  <conditionalFormatting sqref="P174:Q174">
    <cfRule type="containsText" dxfId="246" priority="286" operator="containsText" text="OFF">
      <formula>NOT(ISERROR(SEARCH("OFF",P174)))</formula>
    </cfRule>
  </conditionalFormatting>
  <conditionalFormatting sqref="R174:S174">
    <cfRule type="containsText" dxfId="245" priority="285" operator="containsText" text="OFF">
      <formula>NOT(ISERROR(SEARCH("OFF",R174)))</formula>
    </cfRule>
  </conditionalFormatting>
  <conditionalFormatting sqref="L177:M177">
    <cfRule type="containsText" dxfId="244" priority="284" operator="containsText" text="OFF">
      <formula>NOT(ISERROR(SEARCH("OFF",L177)))</formula>
    </cfRule>
  </conditionalFormatting>
  <conditionalFormatting sqref="N177:O177">
    <cfRule type="containsText" dxfId="243" priority="283" operator="containsText" text="OFF">
      <formula>NOT(ISERROR(SEARCH("OFF",N177)))</formula>
    </cfRule>
  </conditionalFormatting>
  <conditionalFormatting sqref="P177:Q177">
    <cfRule type="containsText" dxfId="242" priority="282" operator="containsText" text="OFF">
      <formula>NOT(ISERROR(SEARCH("OFF",P177)))</formula>
    </cfRule>
  </conditionalFormatting>
  <conditionalFormatting sqref="R177:S177">
    <cfRule type="containsText" dxfId="241" priority="281" operator="containsText" text="OFF">
      <formula>NOT(ISERROR(SEARCH("OFF",R177)))</formula>
    </cfRule>
  </conditionalFormatting>
  <conditionalFormatting sqref="T177:U177">
    <cfRule type="containsText" dxfId="240" priority="280" operator="containsText" text="OFF">
      <formula>NOT(ISERROR(SEARCH("OFF",T177)))</formula>
    </cfRule>
  </conditionalFormatting>
  <conditionalFormatting sqref="P178:Q178">
    <cfRule type="containsText" dxfId="239" priority="279" operator="containsText" text="OFF">
      <formula>NOT(ISERROR(SEARCH("OFF",P178)))</formula>
    </cfRule>
  </conditionalFormatting>
  <conditionalFormatting sqref="R178:S178">
    <cfRule type="containsText" dxfId="238" priority="278" operator="containsText" text="OFF">
      <formula>NOT(ISERROR(SEARCH("OFF",R178)))</formula>
    </cfRule>
  </conditionalFormatting>
  <conditionalFormatting sqref="L179:M179">
    <cfRule type="containsText" dxfId="237" priority="277" operator="containsText" text="OFF">
      <formula>NOT(ISERROR(SEARCH("OFF",L179)))</formula>
    </cfRule>
  </conditionalFormatting>
  <conditionalFormatting sqref="N179:O179">
    <cfRule type="containsText" dxfId="236" priority="276" operator="containsText" text="OFF">
      <formula>NOT(ISERROR(SEARCH("OFF",N179)))</formula>
    </cfRule>
  </conditionalFormatting>
  <conditionalFormatting sqref="L180:M180">
    <cfRule type="containsText" dxfId="235" priority="275" operator="containsText" text="OFF">
      <formula>NOT(ISERROR(SEARCH("OFF",L180)))</formula>
    </cfRule>
  </conditionalFormatting>
  <conditionalFormatting sqref="N180:O180">
    <cfRule type="containsText" dxfId="234" priority="274" operator="containsText" text="OFF">
      <formula>NOT(ISERROR(SEARCH("OFF",N180)))</formula>
    </cfRule>
  </conditionalFormatting>
  <conditionalFormatting sqref="R180:S180">
    <cfRule type="containsText" dxfId="233" priority="273" operator="containsText" text="OFF">
      <formula>NOT(ISERROR(SEARCH("OFF",R180)))</formula>
    </cfRule>
  </conditionalFormatting>
  <conditionalFormatting sqref="T180:U180">
    <cfRule type="containsText" dxfId="232" priority="272" operator="containsText" text="OFF">
      <formula>NOT(ISERROR(SEARCH("OFF",T180)))</formula>
    </cfRule>
  </conditionalFormatting>
  <conditionalFormatting sqref="V180:W180">
    <cfRule type="containsText" dxfId="231" priority="271" operator="containsText" text="OFF">
      <formula>NOT(ISERROR(SEARCH("OFF",V180)))</formula>
    </cfRule>
  </conditionalFormatting>
  <conditionalFormatting sqref="L181:M181">
    <cfRule type="containsText" dxfId="230" priority="270" operator="containsText" text="OFF">
      <formula>NOT(ISERROR(SEARCH("OFF",L181)))</formula>
    </cfRule>
  </conditionalFormatting>
  <conditionalFormatting sqref="N181:O181">
    <cfRule type="containsText" dxfId="229" priority="269" operator="containsText" text="OFF">
      <formula>NOT(ISERROR(SEARCH("OFF",N181)))</formula>
    </cfRule>
  </conditionalFormatting>
  <conditionalFormatting sqref="P181:Q181">
    <cfRule type="containsText" dxfId="228" priority="268" operator="containsText" text="OFF">
      <formula>NOT(ISERROR(SEARCH("OFF",P181)))</formula>
    </cfRule>
  </conditionalFormatting>
  <conditionalFormatting sqref="R181:S181">
    <cfRule type="containsText" dxfId="227" priority="267" operator="containsText" text="OFF">
      <formula>NOT(ISERROR(SEARCH("OFF",R181)))</formula>
    </cfRule>
  </conditionalFormatting>
  <conditionalFormatting sqref="T181:U181">
    <cfRule type="containsText" dxfId="226" priority="266" operator="containsText" text="OFF">
      <formula>NOT(ISERROR(SEARCH("OFF",T181)))</formula>
    </cfRule>
  </conditionalFormatting>
  <conditionalFormatting sqref="L182:M182">
    <cfRule type="containsText" dxfId="225" priority="265" operator="containsText" text="OFF">
      <formula>NOT(ISERROR(SEARCH("OFF",L182)))</formula>
    </cfRule>
  </conditionalFormatting>
  <conditionalFormatting sqref="N182:O182">
    <cfRule type="containsText" dxfId="224" priority="262" operator="containsText" text="OFF">
      <formula>NOT(ISERROR(SEARCH("OFF",N182)))</formula>
    </cfRule>
  </conditionalFormatting>
  <conditionalFormatting sqref="P182:Q182">
    <cfRule type="containsText" dxfId="223" priority="261" operator="containsText" text="OFF">
      <formula>NOT(ISERROR(SEARCH("OFF",P182)))</formula>
    </cfRule>
  </conditionalFormatting>
  <conditionalFormatting sqref="R182:S182">
    <cfRule type="containsText" dxfId="222" priority="260" operator="containsText" text="OFF">
      <formula>NOT(ISERROR(SEARCH("OFF",R182)))</formula>
    </cfRule>
  </conditionalFormatting>
  <conditionalFormatting sqref="T182:U182">
    <cfRule type="containsText" dxfId="221" priority="259" operator="containsText" text="OFF">
      <formula>NOT(ISERROR(SEARCH("OFF",T182)))</formula>
    </cfRule>
  </conditionalFormatting>
  <conditionalFormatting sqref="R183:W183">
    <cfRule type="containsText" dxfId="220" priority="258" operator="containsText" text="OFF">
      <formula>NOT(ISERROR(SEARCH("OFF",R183)))</formula>
    </cfRule>
  </conditionalFormatting>
  <conditionalFormatting sqref="L184:M184">
    <cfRule type="containsText" dxfId="219" priority="257" operator="containsText" text="OFF">
      <formula>NOT(ISERROR(SEARCH("OFF",L184)))</formula>
    </cfRule>
  </conditionalFormatting>
  <conditionalFormatting sqref="N184:O184">
    <cfRule type="containsText" dxfId="218" priority="256" operator="containsText" text="OFF">
      <formula>NOT(ISERROR(SEARCH("OFF",N184)))</formula>
    </cfRule>
  </conditionalFormatting>
  <conditionalFormatting sqref="R184:S184">
    <cfRule type="containsText" dxfId="217" priority="254" operator="containsText" text="OFF">
      <formula>NOT(ISERROR(SEARCH("OFF",R184)))</formula>
    </cfRule>
  </conditionalFormatting>
  <conditionalFormatting sqref="T184:U184">
    <cfRule type="containsText" dxfId="216" priority="253" operator="containsText" text="OFF">
      <formula>NOT(ISERROR(SEARCH("OFF",T184)))</formula>
    </cfRule>
  </conditionalFormatting>
  <conditionalFormatting sqref="X185:Y185">
    <cfRule type="containsText" dxfId="215" priority="252" operator="containsText" text="OFF">
      <formula>NOT(ISERROR(SEARCH("OFF",X185)))</formula>
    </cfRule>
  </conditionalFormatting>
  <conditionalFormatting sqref="V185:W185">
    <cfRule type="containsText" dxfId="214" priority="251" operator="containsText" text="OFF">
      <formula>NOT(ISERROR(SEARCH("OFF",V185)))</formula>
    </cfRule>
  </conditionalFormatting>
  <conditionalFormatting sqref="L185:M185 T185:U185">
    <cfRule type="containsText" dxfId="213" priority="250" operator="containsText" text="OFF">
      <formula>NOT(ISERROR(SEARCH("OFF",L185)))</formula>
    </cfRule>
  </conditionalFormatting>
  <conditionalFormatting sqref="N185:S185">
    <cfRule type="containsText" dxfId="212" priority="249" operator="containsText" text="OFF">
      <formula>NOT(ISERROR(SEARCH("OFF",N185)))</formula>
    </cfRule>
  </conditionalFormatting>
  <conditionalFormatting sqref="L186:M186">
    <cfRule type="containsText" dxfId="211" priority="248" operator="containsText" text="OFF">
      <formula>NOT(ISERROR(SEARCH("OFF",L186)))</formula>
    </cfRule>
  </conditionalFormatting>
  <conditionalFormatting sqref="N186:O186">
    <cfRule type="containsText" dxfId="210" priority="247" operator="containsText" text="OFF">
      <formula>NOT(ISERROR(SEARCH("OFF",N186)))</formula>
    </cfRule>
  </conditionalFormatting>
  <conditionalFormatting sqref="P186:Q186">
    <cfRule type="containsText" dxfId="209" priority="246" operator="containsText" text="OFF">
      <formula>NOT(ISERROR(SEARCH("OFF",P186)))</formula>
    </cfRule>
  </conditionalFormatting>
  <conditionalFormatting sqref="R186:S186">
    <cfRule type="containsText" dxfId="208" priority="245" operator="containsText" text="OFF">
      <formula>NOT(ISERROR(SEARCH("OFF",R186)))</formula>
    </cfRule>
  </conditionalFormatting>
  <conditionalFormatting sqref="L188:M188">
    <cfRule type="containsText" dxfId="207" priority="244" operator="containsText" text="OFF">
      <formula>NOT(ISERROR(SEARCH("OFF",L188)))</formula>
    </cfRule>
  </conditionalFormatting>
  <conditionalFormatting sqref="N188:O188">
    <cfRule type="containsText" dxfId="206" priority="243" operator="containsText" text="OFF">
      <formula>NOT(ISERROR(SEARCH("OFF",N188)))</formula>
    </cfRule>
  </conditionalFormatting>
  <conditionalFormatting sqref="P188:Q188">
    <cfRule type="containsText" dxfId="205" priority="242" operator="containsText" text="OFF">
      <formula>NOT(ISERROR(SEARCH("OFF",P188)))</formula>
    </cfRule>
  </conditionalFormatting>
  <conditionalFormatting sqref="R188:S188">
    <cfRule type="containsText" dxfId="204" priority="241" operator="containsText" text="OFF">
      <formula>NOT(ISERROR(SEARCH("OFF",R188)))</formula>
    </cfRule>
  </conditionalFormatting>
  <conditionalFormatting sqref="T188:U188">
    <cfRule type="containsText" dxfId="203" priority="240" operator="containsText" text="OFF">
      <formula>NOT(ISERROR(SEARCH("OFF",T188)))</formula>
    </cfRule>
  </conditionalFormatting>
  <conditionalFormatting sqref="V188:W188">
    <cfRule type="containsText" dxfId="202" priority="239" operator="containsText" text="OFF">
      <formula>NOT(ISERROR(SEARCH("OFF",V188)))</formula>
    </cfRule>
  </conditionalFormatting>
  <conditionalFormatting sqref="N189:O189">
    <cfRule type="containsText" dxfId="201" priority="237" operator="containsText" text="OFF">
      <formula>NOT(ISERROR(SEARCH("OFF",N189)))</formula>
    </cfRule>
  </conditionalFormatting>
  <conditionalFormatting sqref="E195:E262">
    <cfRule type="duplicateValues" dxfId="200" priority="13570"/>
  </conditionalFormatting>
  <conditionalFormatting sqref="L195:W263">
    <cfRule type="containsText" dxfId="199" priority="232" operator="containsText" text="OFF">
      <formula>NOT(ISERROR(SEARCH("OFF",L195)))</formula>
    </cfRule>
  </conditionalFormatting>
  <conditionalFormatting sqref="L168:M168">
    <cfRule type="containsText" dxfId="198" priority="231" operator="containsText" text="OFF">
      <formula>NOT(ISERROR(SEARCH("OFF",L168)))</formula>
    </cfRule>
  </conditionalFormatting>
  <conditionalFormatting sqref="L273:M273">
    <cfRule type="containsText" dxfId="197" priority="230" operator="containsText" text="OFF">
      <formula>NOT(ISERROR(SEARCH("OFF",L273)))</formula>
    </cfRule>
  </conditionalFormatting>
  <conditionalFormatting sqref="L274:M274">
    <cfRule type="containsText" dxfId="196" priority="229" operator="containsText" text="OFF">
      <formula>NOT(ISERROR(SEARCH("OFF",L274)))</formula>
    </cfRule>
  </conditionalFormatting>
  <conditionalFormatting sqref="L275:M275">
    <cfRule type="containsText" dxfId="195" priority="227" operator="containsText" text="OFF">
      <formula>NOT(ISERROR(SEARCH("OFF",L275)))</formula>
    </cfRule>
  </conditionalFormatting>
  <conditionalFormatting sqref="L276:M276">
    <cfRule type="containsText" dxfId="194" priority="226" operator="containsText" text="OFF">
      <formula>NOT(ISERROR(SEARCH("OFF",L276)))</formula>
    </cfRule>
  </conditionalFormatting>
  <conditionalFormatting sqref="V285:W285">
    <cfRule type="containsText" dxfId="193" priority="145" operator="containsText" text="OFF">
      <formula>NOT(ISERROR(SEARCH("OFF",V285)))</formula>
    </cfRule>
  </conditionalFormatting>
  <conditionalFormatting sqref="L278:M278">
    <cfRule type="containsText" dxfId="192" priority="223" operator="containsText" text="OFF">
      <formula>NOT(ISERROR(SEARCH("OFF",L278)))</formula>
    </cfRule>
  </conditionalFormatting>
  <conditionalFormatting sqref="L277:M277">
    <cfRule type="containsText" dxfId="191" priority="222" operator="containsText" text="OFF">
      <formula>NOT(ISERROR(SEARCH("OFF",L277)))</formula>
    </cfRule>
  </conditionalFormatting>
  <conditionalFormatting sqref="L279:M279">
    <cfRule type="containsText" dxfId="190" priority="221" operator="containsText" text="OFF">
      <formula>NOT(ISERROR(SEARCH("OFF",L279)))</formula>
    </cfRule>
  </conditionalFormatting>
  <conditionalFormatting sqref="L280:M280">
    <cfRule type="containsText" dxfId="189" priority="220" operator="containsText" text="OFF">
      <formula>NOT(ISERROR(SEARCH("OFF",L280)))</formula>
    </cfRule>
  </conditionalFormatting>
  <conditionalFormatting sqref="L281:M281">
    <cfRule type="containsText" dxfId="188" priority="219" operator="containsText" text="OFF">
      <formula>NOT(ISERROR(SEARCH("OFF",L281)))</formula>
    </cfRule>
  </conditionalFormatting>
  <conditionalFormatting sqref="N168:O168">
    <cfRule type="containsText" dxfId="187" priority="217" operator="containsText" text="OFF">
      <formula>NOT(ISERROR(SEARCH("OFF",N168)))</formula>
    </cfRule>
  </conditionalFormatting>
  <conditionalFormatting sqref="N273:O273">
    <cfRule type="containsText" dxfId="186" priority="216" operator="containsText" text="OFF">
      <formula>NOT(ISERROR(SEARCH("OFF",N273)))</formula>
    </cfRule>
  </conditionalFormatting>
  <conditionalFormatting sqref="R151:S151">
    <cfRule type="containsText" dxfId="185" priority="214" operator="containsText" text="OFF">
      <formula>NOT(ISERROR(SEARCH("OFF",R151)))</formula>
    </cfRule>
  </conditionalFormatting>
  <conditionalFormatting sqref="P168:Q168">
    <cfRule type="containsText" dxfId="184" priority="213" operator="containsText" text="OFF">
      <formula>NOT(ISERROR(SEARCH("OFF",P168)))</formula>
    </cfRule>
  </conditionalFormatting>
  <conditionalFormatting sqref="R168:S168">
    <cfRule type="containsText" dxfId="183" priority="212" operator="containsText" text="OFF">
      <formula>NOT(ISERROR(SEARCH("OFF",R168)))</formula>
    </cfRule>
  </conditionalFormatting>
  <conditionalFormatting sqref="T168:U168">
    <cfRule type="containsText" dxfId="182" priority="211" operator="containsText" text="OFF">
      <formula>NOT(ISERROR(SEARCH("OFF",T168)))</formula>
    </cfRule>
  </conditionalFormatting>
  <conditionalFormatting sqref="V168:W168">
    <cfRule type="containsText" dxfId="181" priority="210" operator="containsText" text="OFF">
      <formula>NOT(ISERROR(SEARCH("OFF",V168)))</formula>
    </cfRule>
  </conditionalFormatting>
  <conditionalFormatting sqref="P273:Q273">
    <cfRule type="containsText" dxfId="180" priority="209" operator="containsText" text="OFF">
      <formula>NOT(ISERROR(SEARCH("OFF",P273)))</formula>
    </cfRule>
  </conditionalFormatting>
  <conditionalFormatting sqref="R273:S273">
    <cfRule type="containsText" dxfId="179" priority="208" operator="containsText" text="OFF">
      <formula>NOT(ISERROR(SEARCH("OFF",R273)))</formula>
    </cfRule>
  </conditionalFormatting>
  <conditionalFormatting sqref="T273:U273">
    <cfRule type="containsText" dxfId="178" priority="207" operator="containsText" text="OFF">
      <formula>NOT(ISERROR(SEARCH("OFF",T273)))</formula>
    </cfRule>
  </conditionalFormatting>
  <conditionalFormatting sqref="V273:W273">
    <cfRule type="containsText" dxfId="177" priority="206" operator="containsText" text="OFF">
      <formula>NOT(ISERROR(SEARCH("OFF",V273)))</formula>
    </cfRule>
  </conditionalFormatting>
  <conditionalFormatting sqref="P295:Q295">
    <cfRule type="containsText" dxfId="176" priority="205" operator="containsText" text="OFF">
      <formula>NOT(ISERROR(SEARCH("OFF",P295)))</formula>
    </cfRule>
  </conditionalFormatting>
  <conditionalFormatting sqref="P296:Q296">
    <cfRule type="containsText" dxfId="175" priority="204" operator="containsText" text="OFF">
      <formula>NOT(ISERROR(SEARCH("OFF",P296)))</formula>
    </cfRule>
  </conditionalFormatting>
  <conditionalFormatting sqref="R295:S295">
    <cfRule type="containsText" dxfId="174" priority="203" operator="containsText" text="OFF">
      <formula>NOT(ISERROR(SEARCH("OFF",R295)))</formula>
    </cfRule>
  </conditionalFormatting>
  <conditionalFormatting sqref="R296:S296">
    <cfRule type="containsText" dxfId="173" priority="202" operator="containsText" text="OFF">
      <formula>NOT(ISERROR(SEARCH("OFF",R296)))</formula>
    </cfRule>
  </conditionalFormatting>
  <conditionalFormatting sqref="T295:U295">
    <cfRule type="containsText" dxfId="172" priority="201" operator="containsText" text="OFF">
      <formula>NOT(ISERROR(SEARCH("OFF",T295)))</formula>
    </cfRule>
  </conditionalFormatting>
  <conditionalFormatting sqref="V295:W295">
    <cfRule type="containsText" dxfId="171" priority="200" operator="containsText" text="OFF">
      <formula>NOT(ISERROR(SEARCH("OFF",V295)))</formula>
    </cfRule>
  </conditionalFormatting>
  <conditionalFormatting sqref="P274:Q274">
    <cfRule type="containsText" dxfId="170" priority="199" operator="containsText" text="OFF">
      <formula>NOT(ISERROR(SEARCH("OFF",P274)))</formula>
    </cfRule>
  </conditionalFormatting>
  <conditionalFormatting sqref="R274:S274">
    <cfRule type="containsText" dxfId="169" priority="198" operator="containsText" text="OFF">
      <formula>NOT(ISERROR(SEARCH("OFF",R274)))</formula>
    </cfRule>
  </conditionalFormatting>
  <conditionalFormatting sqref="V274:W274">
    <cfRule type="containsText" dxfId="168" priority="197" operator="containsText" text="OFF">
      <formula>NOT(ISERROR(SEARCH("OFF",V274)))</formula>
    </cfRule>
  </conditionalFormatting>
  <conditionalFormatting sqref="T274:U274">
    <cfRule type="containsText" dxfId="167" priority="196" operator="containsText" text="OFF">
      <formula>NOT(ISERROR(SEARCH("OFF",T274)))</formula>
    </cfRule>
  </conditionalFormatting>
  <conditionalFormatting sqref="P275:Q275">
    <cfRule type="containsText" dxfId="166" priority="191" operator="containsText" text="OFF">
      <formula>NOT(ISERROR(SEARCH("OFF",P275)))</formula>
    </cfRule>
  </conditionalFormatting>
  <conditionalFormatting sqref="T275:U275">
    <cfRule type="containsText" dxfId="165" priority="190" operator="containsText" text="OFF">
      <formula>NOT(ISERROR(SEARCH("OFF",T275)))</formula>
    </cfRule>
  </conditionalFormatting>
  <conditionalFormatting sqref="V275:W275">
    <cfRule type="containsText" dxfId="164" priority="189" operator="containsText" text="OFF">
      <formula>NOT(ISERROR(SEARCH("OFF",V275)))</formula>
    </cfRule>
  </conditionalFormatting>
  <conditionalFormatting sqref="R275:S275">
    <cfRule type="containsText" dxfId="163" priority="188" operator="containsText" text="OFF">
      <formula>NOT(ISERROR(SEARCH("OFF",R275)))</formula>
    </cfRule>
  </conditionalFormatting>
  <conditionalFormatting sqref="P276:Q276">
    <cfRule type="containsText" dxfId="162" priority="186" operator="containsText" text="OFF">
      <formula>NOT(ISERROR(SEARCH("OFF",P276)))</formula>
    </cfRule>
  </conditionalFormatting>
  <conditionalFormatting sqref="R276:S276">
    <cfRule type="containsText" dxfId="161" priority="185" operator="containsText" text="OFF">
      <formula>NOT(ISERROR(SEARCH("OFF",R276)))</formula>
    </cfRule>
  </conditionalFormatting>
  <conditionalFormatting sqref="T276:U276">
    <cfRule type="containsText" dxfId="160" priority="184" operator="containsText" text="OFF">
      <formula>NOT(ISERROR(SEARCH("OFF",T276)))</formula>
    </cfRule>
  </conditionalFormatting>
  <conditionalFormatting sqref="V276:W276">
    <cfRule type="containsText" dxfId="159" priority="183" operator="containsText" text="OFF">
      <formula>NOT(ISERROR(SEARCH("OFF",V276)))</formula>
    </cfRule>
  </conditionalFormatting>
  <conditionalFormatting sqref="P277:Q277">
    <cfRule type="containsText" dxfId="158" priority="182" operator="containsText" text="OFF">
      <formula>NOT(ISERROR(SEARCH("OFF",P277)))</formula>
    </cfRule>
  </conditionalFormatting>
  <conditionalFormatting sqref="R277:S277">
    <cfRule type="containsText" dxfId="157" priority="181" operator="containsText" text="OFF">
      <formula>NOT(ISERROR(SEARCH("OFF",R277)))</formula>
    </cfRule>
  </conditionalFormatting>
  <conditionalFormatting sqref="V277:W277">
    <cfRule type="containsText" dxfId="156" priority="180" operator="containsText" text="OFF">
      <formula>NOT(ISERROR(SEARCH("OFF",V277)))</formula>
    </cfRule>
  </conditionalFormatting>
  <conditionalFormatting sqref="T277:U277">
    <cfRule type="containsText" dxfId="155" priority="179" operator="containsText" text="OFF">
      <formula>NOT(ISERROR(SEARCH("OFF",T277)))</formula>
    </cfRule>
  </conditionalFormatting>
  <conditionalFormatting sqref="P278:Q278">
    <cfRule type="containsText" dxfId="154" priority="178" operator="containsText" text="OFF">
      <formula>NOT(ISERROR(SEARCH("OFF",P278)))</formula>
    </cfRule>
  </conditionalFormatting>
  <conditionalFormatting sqref="R278:S278">
    <cfRule type="containsText" dxfId="153" priority="177" operator="containsText" text="OFF">
      <formula>NOT(ISERROR(SEARCH("OFF",R278)))</formula>
    </cfRule>
  </conditionalFormatting>
  <conditionalFormatting sqref="V278:W278">
    <cfRule type="containsText" dxfId="152" priority="176" operator="containsText" text="OFF">
      <formula>NOT(ISERROR(SEARCH("OFF",V278)))</formula>
    </cfRule>
  </conditionalFormatting>
  <conditionalFormatting sqref="T278:U278">
    <cfRule type="containsText" dxfId="151" priority="175" operator="containsText" text="OFF">
      <formula>NOT(ISERROR(SEARCH("OFF",T278)))</formula>
    </cfRule>
  </conditionalFormatting>
  <conditionalFormatting sqref="P279:Q279">
    <cfRule type="containsText" dxfId="150" priority="174" operator="containsText" text="OFF">
      <formula>NOT(ISERROR(SEARCH("OFF",P279)))</formula>
    </cfRule>
  </conditionalFormatting>
  <conditionalFormatting sqref="R279:S279">
    <cfRule type="containsText" dxfId="149" priority="173" operator="containsText" text="OFF">
      <formula>NOT(ISERROR(SEARCH("OFF",R279)))</formula>
    </cfRule>
  </conditionalFormatting>
  <conditionalFormatting sqref="V279:W279">
    <cfRule type="containsText" dxfId="148" priority="172" operator="containsText" text="OFF">
      <formula>NOT(ISERROR(SEARCH("OFF",V279)))</formula>
    </cfRule>
  </conditionalFormatting>
  <conditionalFormatting sqref="T279:U279">
    <cfRule type="containsText" dxfId="147" priority="171" operator="containsText" text="OFF">
      <formula>NOT(ISERROR(SEARCH("OFF",T279)))</formula>
    </cfRule>
  </conditionalFormatting>
  <conditionalFormatting sqref="P280:Q280">
    <cfRule type="containsText" dxfId="146" priority="170" operator="containsText" text="OFF">
      <formula>NOT(ISERROR(SEARCH("OFF",P280)))</formula>
    </cfRule>
  </conditionalFormatting>
  <conditionalFormatting sqref="R280:S280">
    <cfRule type="containsText" dxfId="145" priority="169" operator="containsText" text="OFF">
      <formula>NOT(ISERROR(SEARCH("OFF",R280)))</formula>
    </cfRule>
  </conditionalFormatting>
  <conditionalFormatting sqref="V280:W280">
    <cfRule type="containsText" dxfId="144" priority="168" operator="containsText" text="OFF">
      <formula>NOT(ISERROR(SEARCH("OFF",V280)))</formula>
    </cfRule>
  </conditionalFormatting>
  <conditionalFormatting sqref="T280:U280">
    <cfRule type="containsText" dxfId="143" priority="167" operator="containsText" text="OFF">
      <formula>NOT(ISERROR(SEARCH("OFF",T280)))</formula>
    </cfRule>
  </conditionalFormatting>
  <conditionalFormatting sqref="P281:Q281">
    <cfRule type="containsText" dxfId="142" priority="166" operator="containsText" text="OFF">
      <formula>NOT(ISERROR(SEARCH("OFF",P281)))</formula>
    </cfRule>
  </conditionalFormatting>
  <conditionalFormatting sqref="R281:S281">
    <cfRule type="containsText" dxfId="141" priority="165" operator="containsText" text="OFF">
      <formula>NOT(ISERROR(SEARCH("OFF",R281)))</formula>
    </cfRule>
  </conditionalFormatting>
  <conditionalFormatting sqref="T281:U281">
    <cfRule type="containsText" dxfId="140" priority="164" operator="containsText" text="OFF">
      <formula>NOT(ISERROR(SEARCH("OFF",T281)))</formula>
    </cfRule>
  </conditionalFormatting>
  <conditionalFormatting sqref="V281:W281">
    <cfRule type="containsText" dxfId="139" priority="163" operator="containsText" text="OFF">
      <formula>NOT(ISERROR(SEARCH("OFF",V281)))</formula>
    </cfRule>
  </conditionalFormatting>
  <conditionalFormatting sqref="P282:Q282">
    <cfRule type="containsText" dxfId="138" priority="158" operator="containsText" text="OFF">
      <formula>NOT(ISERROR(SEARCH("OFF",P282)))</formula>
    </cfRule>
  </conditionalFormatting>
  <conditionalFormatting sqref="T282:U282">
    <cfRule type="containsText" dxfId="137" priority="157" operator="containsText" text="OFF">
      <formula>NOT(ISERROR(SEARCH("OFF",T282)))</formula>
    </cfRule>
  </conditionalFormatting>
  <conditionalFormatting sqref="R282:S282">
    <cfRule type="containsText" dxfId="136" priority="156" operator="containsText" text="OFF">
      <formula>NOT(ISERROR(SEARCH("OFF",R282)))</formula>
    </cfRule>
  </conditionalFormatting>
  <conditionalFormatting sqref="V282:W282">
    <cfRule type="containsText" dxfId="135" priority="155" operator="containsText" text="OFF">
      <formula>NOT(ISERROR(SEARCH("OFF",V282)))</formula>
    </cfRule>
  </conditionalFormatting>
  <conditionalFormatting sqref="P283:Q283 T283:W283">
    <cfRule type="containsText" dxfId="134" priority="154" operator="containsText" text="OFF">
      <formula>NOT(ISERROR(SEARCH("OFF",P283)))</formula>
    </cfRule>
  </conditionalFormatting>
  <conditionalFormatting sqref="R283:S283">
    <cfRule type="containsText" dxfId="133" priority="153" operator="containsText" text="OFF">
      <formula>NOT(ISERROR(SEARCH("OFF",R283)))</formula>
    </cfRule>
  </conditionalFormatting>
  <conditionalFormatting sqref="P284:Q284">
    <cfRule type="containsText" dxfId="132" priority="152" operator="containsText" text="OFF">
      <formula>NOT(ISERROR(SEARCH("OFF",P284)))</formula>
    </cfRule>
  </conditionalFormatting>
  <conditionalFormatting sqref="R284:S284">
    <cfRule type="containsText" dxfId="131" priority="151" operator="containsText" text="OFF">
      <formula>NOT(ISERROR(SEARCH("OFF",R284)))</formula>
    </cfRule>
  </conditionalFormatting>
  <conditionalFormatting sqref="T284:U284">
    <cfRule type="containsText" dxfId="130" priority="150" operator="containsText" text="OFF">
      <formula>NOT(ISERROR(SEARCH("OFF",T284)))</formula>
    </cfRule>
  </conditionalFormatting>
  <conditionalFormatting sqref="V284:W284">
    <cfRule type="containsText" dxfId="129" priority="149" operator="containsText" text="OFF">
      <formula>NOT(ISERROR(SEARCH("OFF",V284)))</formula>
    </cfRule>
  </conditionalFormatting>
  <conditionalFormatting sqref="P285:Q285">
    <cfRule type="containsText" dxfId="128" priority="148" operator="containsText" text="OFF">
      <formula>NOT(ISERROR(SEARCH("OFF",P285)))</formula>
    </cfRule>
  </conditionalFormatting>
  <conditionalFormatting sqref="R285:S285">
    <cfRule type="containsText" dxfId="127" priority="147" operator="containsText" text="OFF">
      <formula>NOT(ISERROR(SEARCH("OFF",R285)))</formula>
    </cfRule>
  </conditionalFormatting>
  <conditionalFormatting sqref="T285:U285">
    <cfRule type="containsText" dxfId="126" priority="146" operator="containsText" text="OFF">
      <formula>NOT(ISERROR(SEARCH("OFF",T285)))</formula>
    </cfRule>
  </conditionalFormatting>
  <conditionalFormatting sqref="N137:O137">
    <cfRule type="containsText" dxfId="125" priority="144" operator="containsText" text="OFF">
      <formula>NOT(ISERROR(SEARCH("OFF",N137)))</formula>
    </cfRule>
  </conditionalFormatting>
  <conditionalFormatting sqref="L137:M137">
    <cfRule type="containsText" dxfId="124" priority="143" operator="containsText" text="OFF">
      <formula>NOT(ISERROR(SEARCH("OFF",L137)))</formula>
    </cfRule>
  </conditionalFormatting>
  <conditionalFormatting sqref="T288:U288">
    <cfRule type="containsText" dxfId="123" priority="142" operator="containsText" text="OFF">
      <formula>NOT(ISERROR(SEARCH("OFF",T288)))</formula>
    </cfRule>
  </conditionalFormatting>
  <conditionalFormatting sqref="E273:E294">
    <cfRule type="duplicateValues" dxfId="122" priority="13606"/>
  </conditionalFormatting>
  <conditionalFormatting sqref="T289:U289">
    <cfRule type="containsText" dxfId="121" priority="141" operator="containsText" text="OFF">
      <formula>NOT(ISERROR(SEARCH("OFF",T289)))</formula>
    </cfRule>
  </conditionalFormatting>
  <conditionalFormatting sqref="V290:W290">
    <cfRule type="containsText" dxfId="120" priority="140" operator="containsText" text="OFF">
      <formula>NOT(ISERROR(SEARCH("OFF",V290)))</formula>
    </cfRule>
  </conditionalFormatting>
  <conditionalFormatting sqref="T291:U291">
    <cfRule type="containsText" dxfId="119" priority="138" operator="containsText" text="OFF">
      <formula>NOT(ISERROR(SEARCH("OFF",T291)))</formula>
    </cfRule>
  </conditionalFormatting>
  <conditionalFormatting sqref="V291:W291">
    <cfRule type="containsText" dxfId="118" priority="137" operator="containsText" text="OFF">
      <formula>NOT(ISERROR(SEARCH("OFF",V291)))</formula>
    </cfRule>
  </conditionalFormatting>
  <conditionalFormatting sqref="V292:W292">
    <cfRule type="containsText" dxfId="117" priority="136" operator="containsText" text="OFF">
      <formula>NOT(ISERROR(SEARCH("OFF",V292)))</formula>
    </cfRule>
  </conditionalFormatting>
  <conditionalFormatting sqref="P293:Q293">
    <cfRule type="containsText" dxfId="116" priority="135" operator="containsText" text="OFF">
      <formula>NOT(ISERROR(SEARCH("OFF",P293)))</formula>
    </cfRule>
  </conditionalFormatting>
  <conditionalFormatting sqref="R293:S293">
    <cfRule type="containsText" dxfId="115" priority="134" operator="containsText" text="OFF">
      <formula>NOT(ISERROR(SEARCH("OFF",R293)))</formula>
    </cfRule>
  </conditionalFormatting>
  <conditionalFormatting sqref="T293:U293">
    <cfRule type="containsText" dxfId="114" priority="133" operator="containsText" text="OFF">
      <formula>NOT(ISERROR(SEARCH("OFF",T293)))</formula>
    </cfRule>
  </conditionalFormatting>
  <conditionalFormatting sqref="V293:W293">
    <cfRule type="containsText" dxfId="113" priority="132" operator="containsText" text="OFF">
      <formula>NOT(ISERROR(SEARCH("OFF",V293)))</formula>
    </cfRule>
  </conditionalFormatting>
  <conditionalFormatting sqref="P294:Q294">
    <cfRule type="containsText" dxfId="112" priority="131" operator="containsText" text="OFF">
      <formula>NOT(ISERROR(SEARCH("OFF",P294)))</formula>
    </cfRule>
  </conditionalFormatting>
  <conditionalFormatting sqref="R294:S294">
    <cfRule type="containsText" dxfId="111" priority="130" operator="containsText" text="OFF">
      <formula>NOT(ISERROR(SEARCH("OFF",R294)))</formula>
    </cfRule>
  </conditionalFormatting>
  <conditionalFormatting sqref="T294:U294">
    <cfRule type="containsText" dxfId="110" priority="129" operator="containsText" text="OFF">
      <formula>NOT(ISERROR(SEARCH("OFF",T294)))</formula>
    </cfRule>
  </conditionalFormatting>
  <conditionalFormatting sqref="V294:W294">
    <cfRule type="containsText" dxfId="109" priority="128" operator="containsText" text="OFF">
      <formula>NOT(ISERROR(SEARCH("OFF",V294)))</formula>
    </cfRule>
  </conditionalFormatting>
  <conditionalFormatting sqref="L30:W31">
    <cfRule type="containsText" dxfId="108" priority="127" operator="containsText" text="OFF">
      <formula>NOT(ISERROR(SEARCH("OFF",L30)))</formula>
    </cfRule>
  </conditionalFormatting>
  <conditionalFormatting sqref="L32:W37 L39:U39 L40:W41 L43:W44 L42:U42">
    <cfRule type="containsText" dxfId="107" priority="126" operator="containsText" text="OFF">
      <formula>NOT(ISERROR(SEARCH("OFF",L32)))</formula>
    </cfRule>
  </conditionalFormatting>
  <conditionalFormatting sqref="L45:W46">
    <cfRule type="containsText" dxfId="106" priority="125" operator="containsText" text="OFF">
      <formula>NOT(ISERROR(SEARCH("OFF",L45)))</formula>
    </cfRule>
  </conditionalFormatting>
  <conditionalFormatting sqref="L47:W47">
    <cfRule type="containsText" dxfId="105" priority="124" operator="containsText" text="OFF">
      <formula>NOT(ISERROR(SEARCH("OFF",L47)))</formula>
    </cfRule>
  </conditionalFormatting>
  <conditionalFormatting sqref="L48:W48">
    <cfRule type="containsText" dxfId="104" priority="123" operator="containsText" text="OFF">
      <formula>NOT(ISERROR(SEARCH("OFF",L48)))</formula>
    </cfRule>
  </conditionalFormatting>
  <conditionalFormatting sqref="L49:W50">
    <cfRule type="containsText" dxfId="103" priority="122" operator="containsText" text="OFF">
      <formula>NOT(ISERROR(SEARCH("OFF",L49)))</formula>
    </cfRule>
  </conditionalFormatting>
  <conditionalFormatting sqref="L51:W52">
    <cfRule type="containsText" dxfId="102" priority="121" operator="containsText" text="OFF">
      <formula>NOT(ISERROR(SEARCH("OFF",L51)))</formula>
    </cfRule>
  </conditionalFormatting>
  <conditionalFormatting sqref="L53:W53">
    <cfRule type="containsText" dxfId="101" priority="120" operator="containsText" text="OFF">
      <formula>NOT(ISERROR(SEARCH("OFF",L53)))</formula>
    </cfRule>
  </conditionalFormatting>
  <conditionalFormatting sqref="L54:W54">
    <cfRule type="containsText" dxfId="100" priority="119" operator="containsText" text="OFF">
      <formula>NOT(ISERROR(SEARCH("OFF",L54)))</formula>
    </cfRule>
  </conditionalFormatting>
  <conditionalFormatting sqref="L56:W56">
    <cfRule type="containsText" dxfId="99" priority="118" operator="containsText" text="OFF">
      <formula>NOT(ISERROR(SEARCH("OFF",L56)))</formula>
    </cfRule>
  </conditionalFormatting>
  <conditionalFormatting sqref="L55:O55 R55:W55">
    <cfRule type="containsText" dxfId="98" priority="117" operator="containsText" text="OFF">
      <formula>NOT(ISERROR(SEARCH("OFF",L55)))</formula>
    </cfRule>
  </conditionalFormatting>
  <conditionalFormatting sqref="L57:W57">
    <cfRule type="containsText" dxfId="97" priority="116" operator="containsText" text="OFF">
      <formula>NOT(ISERROR(SEARCH("OFF",L57)))</formula>
    </cfRule>
  </conditionalFormatting>
  <conditionalFormatting sqref="L58:W58">
    <cfRule type="containsText" dxfId="96" priority="115" operator="containsText" text="OFF">
      <formula>NOT(ISERROR(SEARCH("OFF",L58)))</formula>
    </cfRule>
  </conditionalFormatting>
  <conditionalFormatting sqref="L60:W61">
    <cfRule type="containsText" dxfId="95" priority="114" operator="containsText" text="OFF">
      <formula>NOT(ISERROR(SEARCH("OFF",L60)))</formula>
    </cfRule>
  </conditionalFormatting>
  <conditionalFormatting sqref="L59:W59">
    <cfRule type="containsText" dxfId="94" priority="113" operator="containsText" text="OFF">
      <formula>NOT(ISERROR(SEARCH("OFF",L59)))</formula>
    </cfRule>
  </conditionalFormatting>
  <conditionalFormatting sqref="L62:W68">
    <cfRule type="containsText" dxfId="93" priority="112" operator="containsText" text="OFF">
      <formula>NOT(ISERROR(SEARCH("OFF",L62)))</formula>
    </cfRule>
  </conditionalFormatting>
  <conditionalFormatting sqref="L69:W69">
    <cfRule type="containsText" dxfId="92" priority="111" operator="containsText" text="OFF">
      <formula>NOT(ISERROR(SEARCH("OFF",L69)))</formula>
    </cfRule>
  </conditionalFormatting>
  <conditionalFormatting sqref="L70:W70">
    <cfRule type="containsText" dxfId="91" priority="110" operator="containsText" text="OFF">
      <formula>NOT(ISERROR(SEARCH("OFF",L70)))</formula>
    </cfRule>
  </conditionalFormatting>
  <conditionalFormatting sqref="X70:Y70">
    <cfRule type="containsText" dxfId="90" priority="109" operator="containsText" text="OFF">
      <formula>NOT(ISERROR(SEARCH("OFF",X70)))</formula>
    </cfRule>
  </conditionalFormatting>
  <conditionalFormatting sqref="L71:W71">
    <cfRule type="containsText" dxfId="89" priority="108" operator="containsText" text="OFF">
      <formula>NOT(ISERROR(SEARCH("OFF",L71)))</formula>
    </cfRule>
  </conditionalFormatting>
  <conditionalFormatting sqref="X71:Y71">
    <cfRule type="containsText" dxfId="88" priority="107" operator="containsText" text="OFF">
      <formula>NOT(ISERROR(SEARCH("OFF",X71)))</formula>
    </cfRule>
  </conditionalFormatting>
  <conditionalFormatting sqref="L72:Y72">
    <cfRule type="containsText" dxfId="87" priority="106" operator="containsText" text="OFF">
      <formula>NOT(ISERROR(SEARCH("OFF",L72)))</formula>
    </cfRule>
  </conditionalFormatting>
  <conditionalFormatting sqref="L73:Y73">
    <cfRule type="containsText" dxfId="86" priority="105" operator="containsText" text="OFF">
      <formula>NOT(ISERROR(SEARCH("OFF",L73)))</formula>
    </cfRule>
  </conditionalFormatting>
  <conditionalFormatting sqref="L74:Y74">
    <cfRule type="containsText" dxfId="85" priority="104" operator="containsText" text="OFF">
      <formula>NOT(ISERROR(SEARCH("OFF",L74)))</formula>
    </cfRule>
  </conditionalFormatting>
  <conditionalFormatting sqref="L75:Y75">
    <cfRule type="containsText" dxfId="84" priority="103" operator="containsText" text="OFF">
      <formula>NOT(ISERROR(SEARCH("OFF",L75)))</formula>
    </cfRule>
  </conditionalFormatting>
  <conditionalFormatting sqref="L76:Y76">
    <cfRule type="containsText" dxfId="83" priority="102" operator="containsText" text="OFF">
      <formula>NOT(ISERROR(SEARCH("OFF",L76)))</formula>
    </cfRule>
  </conditionalFormatting>
  <conditionalFormatting sqref="L77:Y77">
    <cfRule type="containsText" dxfId="82" priority="101" operator="containsText" text="OFF">
      <formula>NOT(ISERROR(SEARCH("OFF",L77)))</formula>
    </cfRule>
  </conditionalFormatting>
  <conditionalFormatting sqref="L78:Y78">
    <cfRule type="containsText" dxfId="81" priority="100" operator="containsText" text="OFF">
      <formula>NOT(ISERROR(SEARCH("OFF",L78)))</formula>
    </cfRule>
  </conditionalFormatting>
  <conditionalFormatting sqref="L79:Y79">
    <cfRule type="containsText" dxfId="80" priority="99" operator="containsText" text="OFF">
      <formula>NOT(ISERROR(SEARCH("OFF",L79)))</formula>
    </cfRule>
  </conditionalFormatting>
  <conditionalFormatting sqref="L22:W22">
    <cfRule type="containsText" dxfId="79" priority="98" operator="containsText" text="OFF">
      <formula>NOT(ISERROR(SEARCH("OFF",L22)))</formula>
    </cfRule>
  </conditionalFormatting>
  <conditionalFormatting sqref="L23:U23">
    <cfRule type="containsText" dxfId="78" priority="97" operator="containsText" text="OFF">
      <formula>NOT(ISERROR(SEARCH("OFF",L23)))</formula>
    </cfRule>
  </conditionalFormatting>
  <conditionalFormatting sqref="L24:U24">
    <cfRule type="containsText" dxfId="77" priority="96" operator="containsText" text="OFF">
      <formula>NOT(ISERROR(SEARCH("OFF",L24)))</formula>
    </cfRule>
  </conditionalFormatting>
  <conditionalFormatting sqref="L25:U25">
    <cfRule type="containsText" dxfId="76" priority="95" operator="containsText" text="OFF">
      <formula>NOT(ISERROR(SEARCH("OFF",L25)))</formula>
    </cfRule>
  </conditionalFormatting>
  <conditionalFormatting sqref="L26:U26">
    <cfRule type="containsText" dxfId="75" priority="94" operator="containsText" text="OFF">
      <formula>NOT(ISERROR(SEARCH("OFF",L26)))</formula>
    </cfRule>
  </conditionalFormatting>
  <conditionalFormatting sqref="L27:U27">
    <cfRule type="containsText" dxfId="74" priority="93" operator="containsText" text="OFF">
      <formula>NOT(ISERROR(SEARCH("OFF",L27)))</formula>
    </cfRule>
  </conditionalFormatting>
  <conditionalFormatting sqref="L28:U28">
    <cfRule type="containsText" dxfId="73" priority="92" operator="containsText" text="OFF">
      <formula>NOT(ISERROR(SEARCH("OFF",L28)))</formula>
    </cfRule>
  </conditionalFormatting>
  <conditionalFormatting sqref="L29:U29">
    <cfRule type="containsText" dxfId="72" priority="91" operator="containsText" text="OFF">
      <formula>NOT(ISERROR(SEARCH("OFF",L29)))</formula>
    </cfRule>
  </conditionalFormatting>
  <conditionalFormatting sqref="L264:U264">
    <cfRule type="containsText" dxfId="71" priority="90" operator="containsText" text="OFF">
      <formula>NOT(ISERROR(SEARCH("OFF",L264)))</formula>
    </cfRule>
  </conditionalFormatting>
  <conditionalFormatting sqref="L265:U265">
    <cfRule type="containsText" dxfId="70" priority="89" operator="containsText" text="OFF">
      <formula>NOT(ISERROR(SEARCH("OFF",L265)))</formula>
    </cfRule>
  </conditionalFormatting>
  <conditionalFormatting sqref="L266:U266">
    <cfRule type="containsText" dxfId="69" priority="88" operator="containsText" text="OFF">
      <formula>NOT(ISERROR(SEARCH("OFF",L266)))</formula>
    </cfRule>
  </conditionalFormatting>
  <conditionalFormatting sqref="L267:U267">
    <cfRule type="containsText" dxfId="68" priority="87" operator="containsText" text="OFF">
      <formula>NOT(ISERROR(SEARCH("OFF",L267)))</formula>
    </cfRule>
  </conditionalFormatting>
  <conditionalFormatting sqref="L268:U268">
    <cfRule type="containsText" dxfId="67" priority="86" operator="containsText" text="OFF">
      <formula>NOT(ISERROR(SEARCH("OFF",L268)))</formula>
    </cfRule>
  </conditionalFormatting>
  <conditionalFormatting sqref="L269:U269">
    <cfRule type="containsText" dxfId="66" priority="85" operator="containsText" text="OFF">
      <formula>NOT(ISERROR(SEARCH("OFF",L269)))</formula>
    </cfRule>
  </conditionalFormatting>
  <conditionalFormatting sqref="L141:M141">
    <cfRule type="containsText" dxfId="65" priority="84" operator="containsText" text="OFF">
      <formula>NOT(ISERROR(SEARCH("OFF",L141)))</formula>
    </cfRule>
  </conditionalFormatting>
  <conditionalFormatting sqref="N141:O141">
    <cfRule type="containsText" dxfId="64" priority="83" operator="containsText" text="OFF">
      <formula>NOT(ISERROR(SEARCH("OFF",N141)))</formula>
    </cfRule>
  </conditionalFormatting>
  <conditionalFormatting sqref="P141:Q141">
    <cfRule type="containsText" dxfId="63" priority="82" operator="containsText" text="OFF">
      <formula>NOT(ISERROR(SEARCH("OFF",P141)))</formula>
    </cfRule>
  </conditionalFormatting>
  <conditionalFormatting sqref="R141:S141">
    <cfRule type="containsText" dxfId="62" priority="81" operator="containsText" text="OFF">
      <formula>NOT(ISERROR(SEARCH("OFF",R141)))</formula>
    </cfRule>
  </conditionalFormatting>
  <conditionalFormatting sqref="T141:U141">
    <cfRule type="containsText" dxfId="61" priority="80" operator="containsText" text="OFF">
      <formula>NOT(ISERROR(SEARCH("OFF",T141)))</formula>
    </cfRule>
  </conditionalFormatting>
  <conditionalFormatting sqref="V140:W140">
    <cfRule type="containsText" dxfId="60" priority="79" operator="containsText" text="OFF">
      <formula>NOT(ISERROR(SEARCH("OFF",V140)))</formula>
    </cfRule>
  </conditionalFormatting>
  <conditionalFormatting sqref="L139:U139">
    <cfRule type="containsText" dxfId="59" priority="78" operator="containsText" text="OFF">
      <formula>NOT(ISERROR(SEARCH("OFF",L139)))</formula>
    </cfRule>
  </conditionalFormatting>
  <conditionalFormatting sqref="V139:W139">
    <cfRule type="containsText" dxfId="58" priority="77" operator="containsText" text="OFF">
      <formula>NOT(ISERROR(SEARCH("OFF",V139)))</formula>
    </cfRule>
  </conditionalFormatting>
  <conditionalFormatting sqref="P292:Q292">
    <cfRule type="containsText" dxfId="57" priority="76" operator="containsText" text="OFF">
      <formula>NOT(ISERROR(SEARCH("OFF",P292)))</formula>
    </cfRule>
  </conditionalFormatting>
  <conditionalFormatting sqref="R292:S292">
    <cfRule type="containsText" dxfId="56" priority="75" operator="containsText" text="OFF">
      <formula>NOT(ISERROR(SEARCH("OFF",R292)))</formula>
    </cfRule>
  </conditionalFormatting>
  <conditionalFormatting sqref="R290:S290">
    <cfRule type="containsText" dxfId="55" priority="74" operator="containsText" text="OFF">
      <formula>NOT(ISERROR(SEARCH("OFF",R290)))</formula>
    </cfRule>
  </conditionalFormatting>
  <conditionalFormatting sqref="T292:U292">
    <cfRule type="containsText" dxfId="54" priority="73" operator="containsText" text="OFF">
      <formula>NOT(ISERROR(SEARCH("OFF",T292)))</formula>
    </cfRule>
  </conditionalFormatting>
  <conditionalFormatting sqref="V181:W181">
    <cfRule type="containsText" dxfId="53" priority="72" operator="containsText" text="OFF">
      <formula>NOT(ISERROR(SEARCH("OFF",V181)))</formula>
    </cfRule>
  </conditionalFormatting>
  <conditionalFormatting sqref="V177:W177">
    <cfRule type="containsText" dxfId="52" priority="71" operator="containsText" text="OFF">
      <formula>NOT(ISERROR(SEARCH("OFF",V177)))</formula>
    </cfRule>
  </conditionalFormatting>
  <conditionalFormatting sqref="N95:O95">
    <cfRule type="containsText" dxfId="51" priority="4" operator="containsText" text="OFF">
      <formula>NOT(ISERROR(SEARCH("OFF",N95)))</formula>
    </cfRule>
  </conditionalFormatting>
  <conditionalFormatting sqref="V186:W186">
    <cfRule type="containsText" dxfId="50" priority="70" operator="containsText" text="OFF">
      <formula>NOT(ISERROR(SEARCH("OFF",V186)))</formula>
    </cfRule>
  </conditionalFormatting>
  <conditionalFormatting sqref="P55:Q55">
    <cfRule type="containsText" dxfId="49" priority="69" operator="containsText" text="OFF">
      <formula>NOT(ISERROR(SEARCH("OFF",P55)))</formula>
    </cfRule>
  </conditionalFormatting>
  <conditionalFormatting sqref="L38:W38">
    <cfRule type="containsText" dxfId="48" priority="68" operator="containsText" text="OFF">
      <formula>NOT(ISERROR(SEARCH("OFF",L38)))</formula>
    </cfRule>
  </conditionalFormatting>
  <conditionalFormatting sqref="V39:W39">
    <cfRule type="containsText" dxfId="47" priority="67" operator="containsText" text="OFF">
      <formula>NOT(ISERROR(SEARCH("OFF",V39)))</formula>
    </cfRule>
  </conditionalFormatting>
  <conditionalFormatting sqref="V42:W42">
    <cfRule type="containsText" dxfId="46" priority="66" operator="containsText" text="OFF">
      <formula>NOT(ISERROR(SEARCH("OFF",V42)))</formula>
    </cfRule>
  </conditionalFormatting>
  <conditionalFormatting sqref="N80:U80">
    <cfRule type="containsText" dxfId="45" priority="65" operator="containsText" text="OFF">
      <formula>NOT(ISERROR(SEARCH("OFF",N80)))</formula>
    </cfRule>
  </conditionalFormatting>
  <conditionalFormatting sqref="V80:W80">
    <cfRule type="containsText" dxfId="44" priority="64" operator="containsText" text="OFF">
      <formula>NOT(ISERROR(SEARCH("OFF",V80)))</formula>
    </cfRule>
  </conditionalFormatting>
  <conditionalFormatting sqref="L94:M94">
    <cfRule type="containsText" dxfId="43" priority="63" operator="containsText" text="OFF">
      <formula>NOT(ISERROR(SEARCH("OFF",L94)))</formula>
    </cfRule>
  </conditionalFormatting>
  <conditionalFormatting sqref="X94:Y94">
    <cfRule type="containsText" dxfId="42" priority="62" operator="containsText" text="OFF">
      <formula>NOT(ISERROR(SEARCH("OFF",X94)))</formula>
    </cfRule>
  </conditionalFormatting>
  <conditionalFormatting sqref="N94:U94">
    <cfRule type="containsText" dxfId="41" priority="61" operator="containsText" text="OFF">
      <formula>NOT(ISERROR(SEARCH("OFF",N94)))</formula>
    </cfRule>
  </conditionalFormatting>
  <conditionalFormatting sqref="V94:W94">
    <cfRule type="containsText" dxfId="40" priority="60" operator="containsText" text="OFF">
      <formula>NOT(ISERROR(SEARCH("OFF",V94)))</formula>
    </cfRule>
  </conditionalFormatting>
  <conditionalFormatting sqref="L92:M92">
    <cfRule type="containsText" dxfId="39" priority="59" operator="containsText" text="OFF">
      <formula>NOT(ISERROR(SEARCH("OFF",L92)))</formula>
    </cfRule>
  </conditionalFormatting>
  <conditionalFormatting sqref="R92:S92">
    <cfRule type="containsText" dxfId="38" priority="58" operator="containsText" text="OFF">
      <formula>NOT(ISERROR(SEARCH("OFF",R92)))</formula>
    </cfRule>
  </conditionalFormatting>
  <conditionalFormatting sqref="N92:O92">
    <cfRule type="containsText" dxfId="37" priority="57" operator="containsText" text="OFF">
      <formula>NOT(ISERROR(SEARCH("OFF",N92)))</formula>
    </cfRule>
  </conditionalFormatting>
  <conditionalFormatting sqref="P92:Q92">
    <cfRule type="containsText" dxfId="36" priority="56" operator="containsText" text="OFF">
      <formula>NOT(ISERROR(SEARCH("OFF",P92)))</formula>
    </cfRule>
  </conditionalFormatting>
  <conditionalFormatting sqref="T92:U92">
    <cfRule type="containsText" dxfId="35" priority="55" operator="containsText" text="OFF">
      <formula>NOT(ISERROR(SEARCH("OFF",T92)))</formula>
    </cfRule>
  </conditionalFormatting>
  <conditionalFormatting sqref="L93:M93">
    <cfRule type="containsText" dxfId="34" priority="54" operator="containsText" text="OFF">
      <formula>NOT(ISERROR(SEARCH("OFF",L93)))</formula>
    </cfRule>
  </conditionalFormatting>
  <conditionalFormatting sqref="N93:O93">
    <cfRule type="containsText" dxfId="33" priority="53" operator="containsText" text="OFF">
      <formula>NOT(ISERROR(SEARCH("OFF",N93)))</formula>
    </cfRule>
  </conditionalFormatting>
  <conditionalFormatting sqref="R93:S93">
    <cfRule type="containsText" dxfId="32" priority="52" operator="containsText" text="OFF">
      <formula>NOT(ISERROR(SEARCH("OFF",R93)))</formula>
    </cfRule>
  </conditionalFormatting>
  <conditionalFormatting sqref="T93:U93">
    <cfRule type="containsText" dxfId="31" priority="51" operator="containsText" text="OFF">
      <formula>NOT(ISERROR(SEARCH("OFF",T93)))</formula>
    </cfRule>
  </conditionalFormatting>
  <conditionalFormatting sqref="P93:Q93">
    <cfRule type="containsText" dxfId="30" priority="5" operator="containsText" text="OFF">
      <formula>NOT(ISERROR(SEARCH("OFF",P93)))</formula>
    </cfRule>
  </conditionalFormatting>
  <conditionalFormatting sqref="V93:W93">
    <cfRule type="containsText" dxfId="29" priority="49" operator="containsText" text="OFF">
      <formula>NOT(ISERROR(SEARCH("OFF",V93)))</formula>
    </cfRule>
  </conditionalFormatting>
  <conditionalFormatting sqref="L95:M95">
    <cfRule type="containsText" dxfId="28" priority="41" operator="containsText" text="OFF">
      <formula>NOT(ISERROR(SEARCH("OFF",L95)))</formula>
    </cfRule>
  </conditionalFormatting>
  <conditionalFormatting sqref="R95:S95">
    <cfRule type="containsText" dxfId="27" priority="39" operator="containsText" text="OFF">
      <formula>NOT(ISERROR(SEARCH("OFF",R95)))</formula>
    </cfRule>
  </conditionalFormatting>
  <conditionalFormatting sqref="T95:U95">
    <cfRule type="containsText" dxfId="26" priority="38" operator="containsText" text="OFF">
      <formula>NOT(ISERROR(SEARCH("OFF",T95)))</formula>
    </cfRule>
  </conditionalFormatting>
  <conditionalFormatting sqref="V95:W95">
    <cfRule type="containsText" dxfId="25" priority="37" operator="containsText" text="OFF">
      <formula>NOT(ISERROR(SEARCH("OFF",V95)))</formula>
    </cfRule>
  </conditionalFormatting>
  <conditionalFormatting sqref="P95:Q95">
    <cfRule type="containsText" dxfId="24" priority="36" operator="containsText" text="OFF">
      <formula>NOT(ISERROR(SEARCH("OFF",P95)))</formula>
    </cfRule>
  </conditionalFormatting>
  <conditionalFormatting sqref="L270:M270">
    <cfRule type="containsText" dxfId="23" priority="35" operator="containsText" text="OFF">
      <formula>NOT(ISERROR(SEARCH("OFF",L270)))</formula>
    </cfRule>
  </conditionalFormatting>
  <conditionalFormatting sqref="N270:O270">
    <cfRule type="containsText" dxfId="22" priority="34" operator="containsText" text="OFF">
      <formula>NOT(ISERROR(SEARCH("OFF",N270)))</formula>
    </cfRule>
  </conditionalFormatting>
  <conditionalFormatting sqref="T270:U270">
    <cfRule type="containsText" dxfId="21" priority="32" operator="containsText" text="OFF">
      <formula>NOT(ISERROR(SEARCH("OFF",T270)))</formula>
    </cfRule>
  </conditionalFormatting>
  <conditionalFormatting sqref="V270:W270">
    <cfRule type="containsText" dxfId="20" priority="31" operator="containsText" text="OFF">
      <formula>NOT(ISERROR(SEARCH("OFF",V270)))</formula>
    </cfRule>
  </conditionalFormatting>
  <conditionalFormatting sqref="P270:Q270">
    <cfRule type="containsText" dxfId="19" priority="30" operator="containsText" text="OFF">
      <formula>NOT(ISERROR(SEARCH("OFF",P270)))</formula>
    </cfRule>
  </conditionalFormatting>
  <conditionalFormatting sqref="L271:M271">
    <cfRule type="containsText" dxfId="18" priority="23" operator="containsText" text="OFF">
      <formula>NOT(ISERROR(SEARCH("OFF",L271)))</formula>
    </cfRule>
  </conditionalFormatting>
  <conditionalFormatting sqref="N271:O271">
    <cfRule type="containsText" dxfId="17" priority="22" operator="containsText" text="OFF">
      <formula>NOT(ISERROR(SEARCH("OFF",N271)))</formula>
    </cfRule>
  </conditionalFormatting>
  <conditionalFormatting sqref="R271:S271">
    <cfRule type="containsText" dxfId="16" priority="21" operator="containsText" text="OFF">
      <formula>NOT(ISERROR(SEARCH("OFF",R271)))</formula>
    </cfRule>
  </conditionalFormatting>
  <conditionalFormatting sqref="V271:W271">
    <cfRule type="containsText" dxfId="15" priority="19" operator="containsText" text="OFF">
      <formula>NOT(ISERROR(SEARCH("OFF",V271)))</formula>
    </cfRule>
  </conditionalFormatting>
  <conditionalFormatting sqref="P271:Q271">
    <cfRule type="containsText" dxfId="14" priority="18" operator="containsText" text="OFF">
      <formula>NOT(ISERROR(SEARCH("OFF",P271)))</formula>
    </cfRule>
  </conditionalFormatting>
  <conditionalFormatting sqref="L272:M272">
    <cfRule type="containsText" dxfId="13" priority="17" operator="containsText" text="OFF">
      <formula>NOT(ISERROR(SEARCH("OFF",L272)))</formula>
    </cfRule>
  </conditionalFormatting>
  <conditionalFormatting sqref="N272:O272">
    <cfRule type="containsText" dxfId="12" priority="16" operator="containsText" text="OFF">
      <formula>NOT(ISERROR(SEARCH("OFF",N272)))</formula>
    </cfRule>
  </conditionalFormatting>
  <conditionalFormatting sqref="R272:S272">
    <cfRule type="containsText" dxfId="11" priority="15" operator="containsText" text="OFF">
      <formula>NOT(ISERROR(SEARCH("OFF",R272)))</formula>
    </cfRule>
  </conditionalFormatting>
  <conditionalFormatting sqref="V272:W272">
    <cfRule type="containsText" dxfId="10" priority="13" operator="containsText" text="OFF">
      <formula>NOT(ISERROR(SEARCH("OFF",V272)))</formula>
    </cfRule>
  </conditionalFormatting>
  <conditionalFormatting sqref="P272:Q272">
    <cfRule type="containsText" dxfId="9" priority="12" operator="containsText" text="OFF">
      <formula>NOT(ISERROR(SEARCH("OFF",P272)))</formula>
    </cfRule>
  </conditionalFormatting>
  <conditionalFormatting sqref="R270:S270">
    <cfRule type="containsText" dxfId="8" priority="3" operator="containsText" text="OFF">
      <formula>NOT(ISERROR(SEARCH("OFF",R270)))</formula>
    </cfRule>
  </conditionalFormatting>
  <conditionalFormatting sqref="E270:E272">
    <cfRule type="duplicateValues" dxfId="7" priority="13612"/>
  </conditionalFormatting>
  <conditionalFormatting sqref="T271:U271">
    <cfRule type="containsText" dxfId="6" priority="2" operator="containsText" text="OFF">
      <formula>NOT(ISERROR(SEARCH("OFF",T271)))</formula>
    </cfRule>
  </conditionalFormatting>
  <conditionalFormatting sqref="T272:U272">
    <cfRule type="containsText" dxfId="5" priority="1" operator="containsText" text="OFF">
      <formula>NOT(ISERROR(SEARCH("OFF",T272)))</formula>
    </cfRule>
  </conditionalFormatting>
  <dataValidations disablePrompts="1" count="1">
    <dataValidation showDropDown="1" showInputMessage="1" showErrorMessage="1" sqref="G76 G82 G69:G70 G155 G2 G167 G183 G169 G162:G163 G148:G149 G237 G216:G217 G253 G239 G232:G233 G219 G209:G210 G78:G79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38"/>
  <sheetViews>
    <sheetView showGridLines="0" zoomScale="94" zoomScaleNormal="94" workbookViewId="0">
      <selection activeCell="A22" sqref="A22:XFD22"/>
    </sheetView>
  </sheetViews>
  <sheetFormatPr baseColWidth="10" defaultRowHeight="14.4" x14ac:dyDescent="0.3"/>
  <cols>
    <col min="2" max="2" width="21.6640625" customWidth="1"/>
    <col min="3" max="3" width="9.33203125" hidden="1" customWidth="1"/>
    <col min="4" max="4" width="10.44140625" hidden="1" customWidth="1"/>
    <col min="5" max="9" width="10.44140625" customWidth="1"/>
    <col min="10" max="10" width="10.44140625" hidden="1" customWidth="1"/>
    <col min="11" max="12" width="10.44140625" customWidth="1"/>
    <col min="13" max="13" width="21.6640625" customWidth="1"/>
    <col min="14" max="15" width="8.6640625" customWidth="1"/>
    <col min="16" max="16" width="10.44140625" customWidth="1"/>
    <col min="17" max="17" width="9.33203125" customWidth="1"/>
    <col min="18" max="24" width="10.44140625" customWidth="1"/>
  </cols>
  <sheetData>
    <row r="4" spans="1:23" x14ac:dyDescent="0.3">
      <c r="A4" s="67" t="s">
        <v>14</v>
      </c>
      <c r="B4" s="67"/>
      <c r="C4" s="67"/>
      <c r="D4" s="67"/>
      <c r="E4" s="67"/>
      <c r="F4" s="67"/>
      <c r="G4" s="67"/>
      <c r="H4" s="67"/>
      <c r="I4" s="67"/>
      <c r="J4" s="67"/>
      <c r="K4" s="68"/>
      <c r="L4" s="67" t="s">
        <v>141</v>
      </c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3" x14ac:dyDescent="0.3">
      <c r="A5" s="4" t="s">
        <v>449</v>
      </c>
      <c r="B5" s="4" t="s">
        <v>0</v>
      </c>
      <c r="C5" s="1" t="s">
        <v>536</v>
      </c>
      <c r="D5" s="1" t="s">
        <v>536</v>
      </c>
      <c r="E5" s="1" t="s">
        <v>1</v>
      </c>
      <c r="F5" s="1" t="s">
        <v>2</v>
      </c>
      <c r="G5" s="1" t="s">
        <v>3</v>
      </c>
      <c r="H5" s="3" t="s">
        <v>4</v>
      </c>
      <c r="I5" s="3" t="s">
        <v>813</v>
      </c>
      <c r="J5" s="3" t="s">
        <v>140</v>
      </c>
      <c r="K5" s="69"/>
      <c r="L5" s="4" t="s">
        <v>449</v>
      </c>
      <c r="M5" s="4" t="s">
        <v>0</v>
      </c>
      <c r="N5" s="2" t="s">
        <v>813</v>
      </c>
      <c r="O5" s="2" t="s">
        <v>140</v>
      </c>
      <c r="P5" s="2" t="s">
        <v>149</v>
      </c>
      <c r="Q5" s="2" t="s">
        <v>148</v>
      </c>
      <c r="R5" s="2" t="s">
        <v>1037</v>
      </c>
      <c r="S5" s="2" t="s">
        <v>164</v>
      </c>
      <c r="T5" s="2" t="s">
        <v>138</v>
      </c>
      <c r="U5" s="2" t="s">
        <v>137</v>
      </c>
      <c r="V5" s="2" t="s">
        <v>139</v>
      </c>
      <c r="W5" s="2" t="s">
        <v>147</v>
      </c>
    </row>
    <row r="6" spans="1:23" x14ac:dyDescent="0.3">
      <c r="A6" s="4" t="s">
        <v>13</v>
      </c>
      <c r="B6" s="2" t="s">
        <v>5</v>
      </c>
      <c r="C6" s="1">
        <f>COUNTIFS(PLANNING!$I:$I,ETAT!$B6,PLANNING!$L:$L,C$5)</f>
        <v>0</v>
      </c>
      <c r="D6" s="1">
        <f>COUNTIFS(PLANNING!$I:$I,ETAT!$B6,PLANNING!$L:$L,D$5)</f>
        <v>0</v>
      </c>
      <c r="E6" s="1">
        <f>COUNTIFS(PLANNING!$I:$I,ETAT!$B6,PLANNING!$L:$L,E$5)</f>
        <v>17</v>
      </c>
      <c r="F6" s="1">
        <f>COUNTIFS(PLANNING!$I:$I,ETAT!$B6,PLANNING!$L:$L,F$5)</f>
        <v>30</v>
      </c>
      <c r="G6" s="1">
        <f>COUNTIFS(PLANNING!$I:$I,ETAT!$B6,PLANNING!$L:$L,G$5)</f>
        <v>0</v>
      </c>
      <c r="H6" s="1">
        <f>COUNTIFS(PLANNING!$I:$I,ETAT!$B6,PLANNING!$L:$L,H$5)</f>
        <v>4</v>
      </c>
      <c r="I6" s="1">
        <f>COUNTIFS(PLANNING!$I:$I,ETAT!$B6,PLANNING!$L:$L,I$5)</f>
        <v>0</v>
      </c>
      <c r="J6" s="1">
        <f>COUNTIFS(PLANNING!$I:$I,ETAT!$B6,PLANNING!$L:$L,J$5)</f>
        <v>0</v>
      </c>
      <c r="K6" s="69"/>
      <c r="L6" s="4" t="s">
        <v>13</v>
      </c>
      <c r="M6" s="2" t="s">
        <v>5</v>
      </c>
      <c r="N6" s="1">
        <f>COUNTIFS(PLANNING!$I:$I,$B6,PLANNING!$M:$M,N$5)</f>
        <v>0</v>
      </c>
      <c r="O6" s="1">
        <f>COUNTIFS(PLANNING!$I:$I,$B6,PLANNING!$M:$M,O$5)</f>
        <v>0</v>
      </c>
      <c r="P6" s="1">
        <f>COUNTIFS(PLANNING!$I:$I,$B6,PLANNING!$M:$M,P$5)</f>
        <v>0</v>
      </c>
      <c r="Q6" s="1">
        <f>COUNTIFS(PLANNING!$I:$I,$B6,PLANNING!$M:$M,Q$5)</f>
        <v>0</v>
      </c>
      <c r="R6" s="1">
        <f>COUNTIFS(PLANNING!$I:$I,$B6,PLANNING!$M:$M,R$5)</f>
        <v>0</v>
      </c>
      <c r="S6" s="1">
        <f>COUNTIFS(PLANNING!$I:$I,$B6,PLANNING!$M:$M,S$5)</f>
        <v>5</v>
      </c>
      <c r="T6" s="1">
        <f>COUNTIFS(PLANNING!$I:$I,$B6,PLANNING!$M:$M,T$5)</f>
        <v>25</v>
      </c>
      <c r="U6" s="1">
        <f>COUNTIFS(PLANNING!$I:$I,$B6,PLANNING!$M:$M,U$5)</f>
        <v>17</v>
      </c>
      <c r="V6" s="1">
        <f>COUNTIFS(PLANNING!$I:$I,$B6,PLANNING!$M:$M,V$5)</f>
        <v>0</v>
      </c>
      <c r="W6" s="1">
        <f>COUNTIFS(PLANNING!$I:$I,$B6,PLANNING!$M:$M,W$5)</f>
        <v>4</v>
      </c>
    </row>
    <row r="7" spans="1:23" x14ac:dyDescent="0.3">
      <c r="A7" s="4" t="s">
        <v>13</v>
      </c>
      <c r="B7" s="2" t="s">
        <v>6</v>
      </c>
      <c r="C7" s="1">
        <f>COUNTIFS(PLANNING!$I:$I,$B7,PLANNING!$L:$L,C$5)</f>
        <v>0</v>
      </c>
      <c r="D7" s="1">
        <f>COUNTIFS(PLANNING!$I:$I,$B7,PLANNING!$L:$L,D$5)</f>
        <v>0</v>
      </c>
      <c r="E7" s="1">
        <f>COUNTIFS(PLANNING!$I:$I,$B7,PLANNING!$L:$L,E$5)</f>
        <v>21</v>
      </c>
      <c r="F7" s="1">
        <f>COUNTIFS(PLANNING!$I:$I,$B7,PLANNING!$L:$L,F$5)</f>
        <v>19</v>
      </c>
      <c r="G7" s="1">
        <f>COUNTIFS(PLANNING!$I:$I,$B7,PLANNING!$L:$L,G$5)</f>
        <v>0</v>
      </c>
      <c r="H7" s="1">
        <f>COUNTIFS(PLANNING!$I:$I,$B7,PLANNING!$L:$L,H$5)</f>
        <v>0</v>
      </c>
      <c r="I7" s="1">
        <f>COUNTIFS(PLANNING!$I:$I,$B7,PLANNING!$L:$L,I$5)</f>
        <v>0</v>
      </c>
      <c r="J7" s="1">
        <f>COUNTIFS(PLANNING!$I:$I,$B7,PLANNING!$L:$L,J$5)</f>
        <v>0</v>
      </c>
      <c r="K7" s="69"/>
      <c r="L7" s="4" t="s">
        <v>13</v>
      </c>
      <c r="M7" s="2" t="s">
        <v>6</v>
      </c>
      <c r="N7" s="1">
        <f>COUNTIFS(PLANNING!$I:$I,$B7,PLANNING!$M:$M,N$5)</f>
        <v>0</v>
      </c>
      <c r="O7" s="1">
        <f>COUNTIFS(PLANNING!$I:$I,$B7,PLANNING!$M:$M,O$5)</f>
        <v>0</v>
      </c>
      <c r="P7" s="1">
        <f>COUNTIFS(PLANNING!$I:$I,$B7,PLANNING!$M:$M,P$5)</f>
        <v>0</v>
      </c>
      <c r="Q7" s="1">
        <f>COUNTIFS(PLANNING!$I:$I,$B7,PLANNING!$M:$M,Q$5)</f>
        <v>0</v>
      </c>
      <c r="R7" s="1">
        <f>COUNTIFS(PLANNING!$I:$I,$B7,PLANNING!$M:$M,R$5)</f>
        <v>0</v>
      </c>
      <c r="S7" s="1">
        <f>COUNTIFS(PLANNING!$I:$I,$B7,PLANNING!$M:$M,S$5)</f>
        <v>4</v>
      </c>
      <c r="T7" s="1">
        <f>COUNTIFS(PLANNING!$I:$I,$B7,PLANNING!$M:$M,T$5)</f>
        <v>24</v>
      </c>
      <c r="U7" s="1">
        <f>COUNTIFS(PLANNING!$I:$I,$B7,PLANNING!$M:$M,U$5)</f>
        <v>12</v>
      </c>
      <c r="V7" s="1">
        <f>COUNTIFS(PLANNING!$I:$I,$B7,PLANNING!$M:$M,V$5)</f>
        <v>0</v>
      </c>
      <c r="W7" s="1">
        <f>COUNTIFS(PLANNING!$I:$I,$B7,PLANNING!$M:$M,W$5)</f>
        <v>0</v>
      </c>
    </row>
    <row r="8" spans="1:23" x14ac:dyDescent="0.3">
      <c r="A8" s="4" t="s">
        <v>13</v>
      </c>
      <c r="B8" s="2" t="s">
        <v>450</v>
      </c>
      <c r="C8" s="1">
        <f>COUNTIFS(PLANNING!$I:$I,LEFT($B$8,4),PLANNING!$L:$L,C$5)+COUNTIFS(PLANNING!$I:$I,RIGHT($B$8,14),PLANNING!$L:$L,C$5)</f>
        <v>0</v>
      </c>
      <c r="D8" s="1">
        <f>COUNTIFS(PLANNING!$I:$I,LEFT($B$8,4),PLANNING!$L:$L,D$5)+COUNTIFS(PLANNING!$I:$I,RIGHT($B$8,14),PLANNING!$L:$L,D$5)</f>
        <v>0</v>
      </c>
      <c r="E8" s="1">
        <f>COUNTIFS(PLANNING!$I:$I,LEFT($B$8,4),PLANNING!$L:$L,E$5)+COUNTIFS(PLANNING!$I:$I,RIGHT($B$8,14),PLANNING!$L:$L,E$5)</f>
        <v>36</v>
      </c>
      <c r="F8" s="1">
        <f>COUNTIFS(PLANNING!$I:$I,LEFT($B$8,4),PLANNING!$L:$L,F$5)+COUNTIFS(PLANNING!$I:$I,RIGHT($B$8,14),PLANNING!$L:$L,F$5)</f>
        <v>69</v>
      </c>
      <c r="G8" s="1">
        <f>COUNTIFS(PLANNING!$I:$I,LEFT($B$8,4),PLANNING!$L:$L,G$5)+COUNTIFS(PLANNING!$I:$I,RIGHT($B$8,14),PLANNING!$L:$L,G$5)</f>
        <v>19</v>
      </c>
      <c r="H8" s="1">
        <f>COUNTIFS(PLANNING!$I:$I,LEFT($B$8,4),PLANNING!$L:$L,H$5)+COUNTIFS(PLANNING!$I:$I,RIGHT($B$8,14),PLANNING!$L:$L,H$5)</f>
        <v>6</v>
      </c>
      <c r="I8" s="1">
        <f>COUNTIFS(PLANNING!$I:$I,LEFT($B$8,4),PLANNING!$L:$L,I$5)+COUNTIFS(PLANNING!$I:$I,RIGHT($B$8,14),PLANNING!$L:$L,I$5)</f>
        <v>0</v>
      </c>
      <c r="J8" s="1">
        <f>COUNTIFS(PLANNING!$I:$I,LEFT($B$8,4),PLANNING!$L:$L,J$5)+COUNTIFS(PLANNING!$I:$I,RIGHT($B$8,14),PLANNING!$L:$L,J$5)</f>
        <v>0</v>
      </c>
      <c r="K8" s="69"/>
      <c r="L8" s="4" t="s">
        <v>13</v>
      </c>
      <c r="M8" s="2" t="s">
        <v>450</v>
      </c>
      <c r="N8" s="1">
        <f>COUNTIFS(PLANNING!$I:$I,LEFT($B$8,4),PLANNING!$M:$M,N$5)+COUNTIFS(PLANNING!$I:$I,RIGHT($B$8,14),PLANNING!$M:$M,N$5)</f>
        <v>0</v>
      </c>
      <c r="O8" s="1">
        <f>COUNTIFS(PLANNING!$I:$I,LEFT($B$8,4),PLANNING!$M:$M,O$5)+COUNTIFS(PLANNING!$I:$I,RIGHT($B$8,14),PLANNING!$M:$M,O$5)</f>
        <v>0</v>
      </c>
      <c r="P8" s="1">
        <f>COUNTIFS(PLANNING!$I:$I,LEFT($B$8,4),PLANNING!$M:$M,P$5)+COUNTIFS(PLANNING!$I:$I,RIGHT($B$8,14),PLANNING!$M:$M,P$5)</f>
        <v>0</v>
      </c>
      <c r="Q8" s="1">
        <f>COUNTIFS(PLANNING!$I:$I,LEFT($B$8,4),PLANNING!$M:$M,Q$5)+COUNTIFS(PLANNING!$I:$I,RIGHT($B$8,14),PLANNING!$M:$M,Q$5)</f>
        <v>0</v>
      </c>
      <c r="R8" s="1">
        <f>COUNTIFS(PLANNING!$I:$I,LEFT($B$8,4),PLANNING!$M:$M,R$5)+COUNTIFS(PLANNING!$I:$I,RIGHT($B$8,14),PLANNING!$M:$M,R$5)</f>
        <v>0</v>
      </c>
      <c r="S8" s="1">
        <f>COUNTIFS(PLANNING!$I:$I,LEFT($B$8,4),PLANNING!$M:$M,S$5)+COUNTIFS(PLANNING!$I:$I,RIGHT($B$8,14),PLANNING!$M:$M,S$5)</f>
        <v>18</v>
      </c>
      <c r="T8" s="1">
        <f>COUNTIFS(PLANNING!$I:$I,LEFT($B$8,4),PLANNING!$M:$M,T$5)+COUNTIFS(PLANNING!$I:$I,RIGHT($B$8,14),PLANNING!$M:$M,T$5)</f>
        <v>41</v>
      </c>
      <c r="U8" s="1">
        <f>COUNTIFS(PLANNING!$I:$I,LEFT($B$8,4),PLANNING!$M:$M,U$5)+COUNTIFS(PLANNING!$I:$I,RIGHT($B$8,14),PLANNING!$M:$M,U$5)</f>
        <v>48</v>
      </c>
      <c r="V8" s="1">
        <f>COUNTIFS(PLANNING!$I:$I,LEFT($B$8,4),PLANNING!$M:$M,V$5)+COUNTIFS(PLANNING!$I:$I,RIGHT($B$8,14),PLANNING!$M:$M,V$5)</f>
        <v>17</v>
      </c>
      <c r="W8" s="1">
        <f>COUNTIFS(PLANNING!$I:$I,LEFT($B$8,4),PLANNING!$M:$M,W$5)+COUNTIFS(PLANNING!$I:$I,RIGHT($B$8,14),PLANNING!$M:$M,W$5)</f>
        <v>6</v>
      </c>
    </row>
    <row r="9" spans="1:23" x14ac:dyDescent="0.3">
      <c r="A9" s="4" t="s">
        <v>13</v>
      </c>
      <c r="B9" s="2" t="s">
        <v>7</v>
      </c>
      <c r="C9" s="1">
        <f>COUNTIFS(PLANNING!$I:$I,$B9,PLANNING!$L:$L,C$5)</f>
        <v>0</v>
      </c>
      <c r="D9" s="1">
        <f>COUNTIFS(PLANNING!$I:$I,$B9,PLANNING!$L:$L,D$5)</f>
        <v>0</v>
      </c>
      <c r="E9" s="1">
        <f>COUNTIFS(PLANNING!$I:$I,$B9,PLANNING!$L:$L,E$5)</f>
        <v>13</v>
      </c>
      <c r="F9" s="1">
        <f>COUNTIFS(PLANNING!$I:$I,$B9,PLANNING!$L:$L,F$5)</f>
        <v>27</v>
      </c>
      <c r="G9" s="1">
        <f>COUNTIFS(PLANNING!$I:$I,$B9,PLANNING!$L:$L,G$5)</f>
        <v>0</v>
      </c>
      <c r="H9" s="1">
        <f>COUNTIFS(PLANNING!$I:$I,$B9,PLANNING!$L:$L,H$5)</f>
        <v>0</v>
      </c>
      <c r="I9" s="1">
        <f>COUNTIFS(PLANNING!$I:$I,$B9,PLANNING!$L:$L,I$5)</f>
        <v>0</v>
      </c>
      <c r="J9" s="1">
        <f>COUNTIFS(PLANNING!$I:$I,$B9,PLANNING!$L:$L,J$5)</f>
        <v>0</v>
      </c>
      <c r="K9" s="69"/>
      <c r="L9" s="4" t="s">
        <v>13</v>
      </c>
      <c r="M9" s="2" t="s">
        <v>7</v>
      </c>
      <c r="N9" s="1">
        <f>COUNTIFS(PLANNING!$I:$I,$B9,PLANNING!$M:$M,N$5)</f>
        <v>0</v>
      </c>
      <c r="O9" s="1">
        <f>COUNTIFS(PLANNING!$I:$I,$B9,PLANNING!$M:$M,O$5)</f>
        <v>0</v>
      </c>
      <c r="P9" s="1">
        <f>COUNTIFS(PLANNING!$I:$I,$B9,PLANNING!$M:$M,P$5)</f>
        <v>0</v>
      </c>
      <c r="Q9" s="1">
        <f>COUNTIFS(PLANNING!$I:$I,$B9,PLANNING!$M:$M,Q$5)</f>
        <v>0</v>
      </c>
      <c r="R9" s="1">
        <f>COUNTIFS(PLANNING!$I:$I,LEFT($B$9,4),PLANNING!$M:$M,R$5)+COUNTIFS(PLANNING!$I:$I,RIGHT($B$9,14),PLANNING!$M:$M,R$5)</f>
        <v>0</v>
      </c>
      <c r="S9" s="1">
        <f>COUNTIFS(PLANNING!$I:$I,$B9,PLANNING!$M:$M,S$5)</f>
        <v>6</v>
      </c>
      <c r="T9" s="1">
        <f>COUNTIFS(PLANNING!$I:$I,$B9,PLANNING!$M:$M,T$5)</f>
        <v>11</v>
      </c>
      <c r="U9" s="1">
        <f>COUNTIFS(PLANNING!$I:$I,$B9,PLANNING!$M:$M,U$5)</f>
        <v>23</v>
      </c>
      <c r="V9" s="1">
        <f>COUNTIFS(PLANNING!$I:$I,$B9,PLANNING!$M:$M,V$5)</f>
        <v>0</v>
      </c>
      <c r="W9" s="1">
        <f>COUNTIFS(PLANNING!$I:$I,$B9,PLANNING!$M:$M,W$5)</f>
        <v>0</v>
      </c>
    </row>
    <row r="10" spans="1:23" x14ac:dyDescent="0.3">
      <c r="A10" s="4" t="s">
        <v>8</v>
      </c>
      <c r="B10" s="2" t="s">
        <v>5</v>
      </c>
      <c r="C10" s="1">
        <f>COUNTIFS(PLANNING!$I:$I,$B10,PLANNING!$N:$N,C$5)</f>
        <v>0</v>
      </c>
      <c r="D10" s="1">
        <f>COUNTIFS(PLANNING!$I:$I,$B10,PLANNING!$N:$N,D$5)</f>
        <v>0</v>
      </c>
      <c r="E10" s="1">
        <f>COUNTIFS(PLANNING!$I:$I,$B10,PLANNING!$N:$N,E$5)</f>
        <v>15</v>
      </c>
      <c r="F10" s="1">
        <f>COUNTIFS(PLANNING!$I:$I,$B10,PLANNING!$N:$N,F$5)</f>
        <v>18</v>
      </c>
      <c r="G10" s="1">
        <f>COUNTIFS(PLANNING!$I:$I,$B10,PLANNING!$N:$N,G$5)</f>
        <v>0</v>
      </c>
      <c r="H10" s="1">
        <f>COUNTIFS(PLANNING!$I:$I,$B10,PLANNING!$M:$M,H$5)</f>
        <v>0</v>
      </c>
      <c r="I10" s="1">
        <f>COUNTIFS(PLANNING!$I:$I,$B10,PLANNING!$M:$M,I$5)</f>
        <v>0</v>
      </c>
      <c r="J10" s="1">
        <f>COUNTIFS(PLANNING!$I:$I,$B10,PLANNING!$M:$M,J$5)</f>
        <v>0</v>
      </c>
      <c r="K10" s="69"/>
      <c r="L10" s="4" t="s">
        <v>8</v>
      </c>
      <c r="M10" s="2" t="s">
        <v>5</v>
      </c>
      <c r="N10" s="1">
        <f>COUNTIFS(PLANNING!$I:$I,$B10,PLANNING!$O:$O,N$5)</f>
        <v>0</v>
      </c>
      <c r="O10" s="1">
        <f>COUNTIFS(PLANNING!$I:$I,$B10,PLANNING!$O:$O,O$5)</f>
        <v>0</v>
      </c>
      <c r="P10" s="1">
        <f>COUNTIFS(PLANNING!$I:$I,$B10,PLANNING!$O:$O,P$5)</f>
        <v>0</v>
      </c>
      <c r="Q10" s="1">
        <f>COUNTIFS(PLANNING!$I:$I,$B10,PLANNING!$O:$O,Q$5)</f>
        <v>0</v>
      </c>
      <c r="R10" s="1">
        <f>COUNTIFS(PLANNING!$I:$I,$B10,PLANNING!$O:$O,R$5)</f>
        <v>0</v>
      </c>
      <c r="S10" s="1">
        <f>COUNTIFS(PLANNING!$I:$I,$B10,PLANNING!$O:$O,S$5)</f>
        <v>5</v>
      </c>
      <c r="T10" s="1">
        <f>COUNTIFS(PLANNING!$I:$I,$B10,PLANNING!$O:$O,T$5)</f>
        <v>13</v>
      </c>
      <c r="U10" s="1">
        <f>COUNTIFS(PLANNING!$I:$I,$B10,PLANNING!$O:$O,U$5)</f>
        <v>15</v>
      </c>
      <c r="V10" s="1">
        <f>COUNTIFS(PLANNING!$I:$I,$B10,PLANNING!$O:$O,V$5)</f>
        <v>0</v>
      </c>
      <c r="W10" s="1">
        <f>COUNTIFS(PLANNING!$I:$I,$B10,PLANNING!$O:$O,W$5)</f>
        <v>15</v>
      </c>
    </row>
    <row r="11" spans="1:23" x14ac:dyDescent="0.3">
      <c r="A11" s="4" t="s">
        <v>8</v>
      </c>
      <c r="B11" s="2" t="s">
        <v>6</v>
      </c>
      <c r="C11" s="1">
        <f>COUNTIFS(PLANNING!$I:$I,$B11,PLANNING!$N:$N,C$5)</f>
        <v>0</v>
      </c>
      <c r="D11" s="1">
        <f>COUNTIFS(PLANNING!$I:$I,$B11,PLANNING!$N:$N,D$5)</f>
        <v>0</v>
      </c>
      <c r="E11" s="1">
        <f>COUNTIFS(PLANNING!$I:$I,$B11,PLANNING!$N:$N,E$5)</f>
        <v>19</v>
      </c>
      <c r="F11" s="1">
        <f>COUNTIFS(PLANNING!$I:$I,$B11,PLANNING!$N:$N,F$5)</f>
        <v>16</v>
      </c>
      <c r="G11" s="1">
        <f>COUNTIFS(PLANNING!$I:$I,$B11,PLANNING!$N:$N,G$5)</f>
        <v>0</v>
      </c>
      <c r="H11" s="1">
        <f>COUNTIFS(PLANNING!$I:$I,$B11,PLANNING!$N:$N,H$5)</f>
        <v>2</v>
      </c>
      <c r="I11" s="1">
        <f>COUNTIFS(PLANNING!$I:$I,$B11,PLANNING!$M:$M,I$5)</f>
        <v>0</v>
      </c>
      <c r="J11" s="1">
        <f>COUNTIFS(PLANNING!$I:$I,$B11,PLANNING!$M:$M,J$5)</f>
        <v>0</v>
      </c>
      <c r="K11" s="69"/>
      <c r="L11" s="4" t="s">
        <v>8</v>
      </c>
      <c r="M11" s="2" t="s">
        <v>6</v>
      </c>
      <c r="N11" s="1">
        <f>COUNTIFS(PLANNING!$I:$I,$B11,PLANNING!$O:$O,N$5)</f>
        <v>0</v>
      </c>
      <c r="O11" s="1">
        <f>COUNTIFS(PLANNING!$I:$I,$B11,PLANNING!$O:$O,O$5)</f>
        <v>0</v>
      </c>
      <c r="P11" s="1">
        <f>COUNTIFS(PLANNING!$I:$I,$B11,PLANNING!$O:$O,P$5)</f>
        <v>0</v>
      </c>
      <c r="Q11" s="1">
        <f>COUNTIFS(PLANNING!$I:$I,$B11,PLANNING!$O:$O,Q$5)</f>
        <v>0</v>
      </c>
      <c r="R11" s="1">
        <f>COUNTIFS(PLANNING!$I:$I,$B11,PLANNING!$O:$O,R$5)</f>
        <v>0</v>
      </c>
      <c r="S11" s="1">
        <f>COUNTIFS(PLANNING!$I:$I,$B11,PLANNING!$O:$O,S$5)</f>
        <v>3</v>
      </c>
      <c r="T11" s="1">
        <f>COUNTIFS(PLANNING!$I:$I,$B11,PLANNING!$O:$O,T$5)</f>
        <v>21</v>
      </c>
      <c r="U11" s="1">
        <f>COUNTIFS(PLANNING!$I:$I,$B11,PLANNING!$O:$O,U$5)</f>
        <v>11</v>
      </c>
      <c r="V11" s="1">
        <f>COUNTIFS(PLANNING!$I:$I,$B11,PLANNING!$O:$O,V$5)</f>
        <v>0</v>
      </c>
      <c r="W11" s="1">
        <f>COUNTIFS(PLANNING!$I:$I,$B11,PLANNING!$O:$O,W$5)</f>
        <v>2</v>
      </c>
    </row>
    <row r="12" spans="1:23" x14ac:dyDescent="0.3">
      <c r="A12" s="4" t="s">
        <v>8</v>
      </c>
      <c r="B12" s="2" t="s">
        <v>450</v>
      </c>
      <c r="C12" s="1">
        <f>COUNTIFS(PLANNING!$I:$I,LEFT($B$8,4),PLANNING!$N:$N,C$5)+COUNTIFS(PLANNING!$I:$I,RIGHT($B$8,14),PLANNING!$N:$N,C$5)</f>
        <v>0</v>
      </c>
      <c r="D12" s="1">
        <f>COUNTIFS(PLANNING!$I:$I,LEFT($B$8,4),PLANNING!$N:$N,D$5)+COUNTIFS(PLANNING!$I:$I,RIGHT($B$8,14),PLANNING!$N:$N,D$5)</f>
        <v>0</v>
      </c>
      <c r="E12" s="1">
        <f>COUNTIFS(PLANNING!$I:$I,LEFT($B$8,4),PLANNING!$N:$N,E$5)+COUNTIFS(PLANNING!$I:$I,RIGHT($B$8,14),PLANNING!$N:$N,E$5)</f>
        <v>37</v>
      </c>
      <c r="F12" s="1">
        <f>COUNTIFS(PLANNING!$I:$I,LEFT($B$8,4),PLANNING!$N:$N,F$5)+COUNTIFS(PLANNING!$I:$I,RIGHT($B$8,14),PLANNING!$N:$N,F$5)</f>
        <v>50</v>
      </c>
      <c r="G12" s="1">
        <f>COUNTIFS(PLANNING!$I:$I,LEFT($B$8,4),PLANNING!$N:$N,G$5)+COUNTIFS(PLANNING!$I:$I,RIGHT($B$8,14),PLANNING!$N:$N,G$5)</f>
        <v>19</v>
      </c>
      <c r="H12" s="1">
        <f>COUNTIFS(PLANNING!$I:$I,LEFT($B$8,4),PLANNING!$P:$P,H$5)+COUNTIFS(PLANNING!$I:$I,RIGHT($B$8,14),PLANNING!$P:$P,H$5)</f>
        <v>14</v>
      </c>
      <c r="I12" s="1">
        <f>COUNTIFS(PLANNING!$I:$I,LEFT($B$8,4),PLANNING!$M:$M,I$5)+COUNTIFS(PLANNING!$I:$I,RIGHT($B$8,14),PLANNING!$M:$M,I$5)</f>
        <v>0</v>
      </c>
      <c r="J12" s="1">
        <f>COUNTIFS(PLANNING!$I:$I,LEFT($B$8,4),PLANNING!$M:$M,J$5)+COUNTIFS(PLANNING!$I:$I,RIGHT($B$8,14),PLANNING!$M:$M,J$5)</f>
        <v>0</v>
      </c>
      <c r="K12" s="69"/>
      <c r="L12" s="4" t="s">
        <v>8</v>
      </c>
      <c r="M12" s="2" t="s">
        <v>450</v>
      </c>
      <c r="N12" s="1">
        <f>COUNTIFS(PLANNING!$I:$I,LEFT($B$8,4),PLANNING!$O:$O,N$5)+COUNTIFS(PLANNING!$I:$I,RIGHT($B$8,14),PLANNING!$O:$O,N$5)</f>
        <v>0</v>
      </c>
      <c r="O12" s="1">
        <f>COUNTIFS(PLANNING!$I:$I,LEFT($B$8,4),PLANNING!$O:$O,O$5)+COUNTIFS(PLANNING!$I:$I,RIGHT($B$8,14),PLANNING!$O:$O,O$5)</f>
        <v>0</v>
      </c>
      <c r="P12" s="1">
        <f>COUNTIFS(PLANNING!$I:$I,LEFT($B$8,4),PLANNING!$O:$O,P$5)+COUNTIFS(PLANNING!$I:$I,RIGHT($B$8,14),PLANNING!$O:$O,P$5)</f>
        <v>0</v>
      </c>
      <c r="Q12" s="1">
        <f>COUNTIFS(PLANNING!$I:$I,LEFT($B$8,4),PLANNING!$O:$O,Q$5)+COUNTIFS(PLANNING!$I:$I,RIGHT($B$8,14),PLANNING!$O:$O,Q$5)</f>
        <v>0</v>
      </c>
      <c r="R12" s="1">
        <f>COUNTIFS(PLANNING!$I:$I,LEFT($B$8,4),PLANNING!$O:$O,R$5)+COUNTIFS(PLANNING!$I:$I,RIGHT($B$8,14),PLANNING!$O:$O,R$5)</f>
        <v>0</v>
      </c>
      <c r="S12" s="1">
        <f>COUNTIFS(PLANNING!$I:$I,LEFT($B$8,4),PLANNING!$O:$O,S$5)+COUNTIFS(PLANNING!$I:$I,RIGHT($B$8,14),PLANNING!$O:$O,S$5)</f>
        <v>18</v>
      </c>
      <c r="T12" s="1">
        <f>COUNTIFS(PLANNING!$I:$I,LEFT($B$8,4),PLANNING!$O:$O,T$5)+COUNTIFS(PLANNING!$I:$I,RIGHT($B$8,14),PLANNING!$O:$O,T$5)</f>
        <v>22</v>
      </c>
      <c r="U12" s="1">
        <f>COUNTIFS(PLANNING!$I:$I,LEFT($B$8,4),PLANNING!$O:$O,U$5)+COUNTIFS(PLANNING!$I:$I,RIGHT($B$8,14),PLANNING!$O:$O,U$5)</f>
        <v>49</v>
      </c>
      <c r="V12" s="1">
        <f>COUNTIFS(PLANNING!$I:$I,LEFT($B$8,4),PLANNING!$O:$O,V$5)+COUNTIFS(PLANNING!$I:$I,RIGHT($B$8,14),PLANNING!$O:$O,V$5)</f>
        <v>17</v>
      </c>
      <c r="W12" s="1">
        <f>COUNTIFS(PLANNING!$I:$I,LEFT($B$8,4),PLANNING!$O:$O,W$5)+COUNTIFS(PLANNING!$I:$I,RIGHT($B$8,14),PLANNING!$O:$O,W$5)</f>
        <v>24</v>
      </c>
    </row>
    <row r="13" spans="1:23" x14ac:dyDescent="0.3">
      <c r="A13" s="4" t="s">
        <v>8</v>
      </c>
      <c r="B13" s="2" t="s">
        <v>7</v>
      </c>
      <c r="C13" s="1">
        <f>COUNTIFS(PLANNING!$I:$I,$B13,PLANNING!$N:$N,C$5)</f>
        <v>0</v>
      </c>
      <c r="D13" s="1">
        <f>COUNTIFS(PLANNING!$I:$I,$B13,PLANNING!$N:$N,D$5)</f>
        <v>0</v>
      </c>
      <c r="E13" s="1">
        <f>COUNTIFS(PLANNING!$I:$I,$B13,PLANNING!$N:$N,E$5)</f>
        <v>13</v>
      </c>
      <c r="F13" s="1">
        <f>COUNTIFS(PLANNING!$I:$I,$B13,PLANNING!$N:$N,F$5)</f>
        <v>25</v>
      </c>
      <c r="G13" s="1">
        <f>COUNTIFS(PLANNING!$I:$I,$B13,PLANNING!$N:$N,G$5)</f>
        <v>0</v>
      </c>
      <c r="H13" s="1">
        <f>COUNTIFS(PLANNING!$I:$I,$B13,PLANNING!$M:$M,H$5)</f>
        <v>0</v>
      </c>
      <c r="I13" s="1">
        <f>COUNTIFS(PLANNING!$I:$I,$B13,PLANNING!$M:$M,I$5)</f>
        <v>0</v>
      </c>
      <c r="J13" s="1">
        <f>COUNTIFS(PLANNING!$I:$I,$B13,PLANNING!$M:$M,J$5)</f>
        <v>0</v>
      </c>
      <c r="K13" s="69"/>
      <c r="L13" s="4" t="s">
        <v>8</v>
      </c>
      <c r="M13" s="2" t="s">
        <v>7</v>
      </c>
      <c r="N13" s="1">
        <f>COUNTIFS(PLANNING!$I:$I,$B13,PLANNING!$O:$O,N$5)</f>
        <v>0</v>
      </c>
      <c r="O13" s="1">
        <f>COUNTIFS(PLANNING!$I:$I,$B13,PLANNING!$O:$O,O$5)</f>
        <v>0</v>
      </c>
      <c r="P13" s="1">
        <f>COUNTIFS(PLANNING!$I:$I,$B13,PLANNING!$O:$O,P$5)</f>
        <v>0</v>
      </c>
      <c r="Q13" s="1">
        <f>COUNTIFS(PLANNING!$I:$I,$B13,PLANNING!$O:$O,Q$5)</f>
        <v>0</v>
      </c>
      <c r="R13" s="1">
        <f>COUNTIFS(PLANNING!$I:$I,$B13,PLANNING!$O:$O,R$5)</f>
        <v>0</v>
      </c>
      <c r="S13" s="1">
        <f>COUNTIFS(PLANNING!$I:$I,$B13,PLANNING!$O:$O,S$5)</f>
        <v>6</v>
      </c>
      <c r="T13" s="1">
        <f>COUNTIFS(PLANNING!$I:$I,$B13,PLANNING!$O:$O,T$5)</f>
        <v>9</v>
      </c>
      <c r="U13" s="1">
        <f>COUNTIFS(PLANNING!$I:$I,$B13,PLANNING!$O:$O,U$5)</f>
        <v>23</v>
      </c>
      <c r="V13" s="1">
        <f>COUNTIFS(PLANNING!$I:$I,$B13,PLANNING!$O:$O,V$5)</f>
        <v>0</v>
      </c>
      <c r="W13" s="1">
        <f>COUNTIFS(PLANNING!$I:$I,$B13,PLANNING!$O:$O,W$5)</f>
        <v>3</v>
      </c>
    </row>
    <row r="14" spans="1:23" x14ac:dyDescent="0.3">
      <c r="A14" s="4" t="s">
        <v>9</v>
      </c>
      <c r="B14" s="2" t="s">
        <v>5</v>
      </c>
      <c r="C14" s="1">
        <f>COUNTIFS(PLANNING!$I:$I,$B14,PLANNING!$P:$P,C$5)</f>
        <v>0</v>
      </c>
      <c r="D14" s="1">
        <f>COUNTIFS(PLANNING!$I:$I,$B14,PLANNING!$P:$P,D$5)</f>
        <v>0</v>
      </c>
      <c r="E14" s="1">
        <f>COUNTIFS(PLANNING!$I:$I,$B14,PLANNING!$P:$P,E$5)</f>
        <v>13</v>
      </c>
      <c r="F14" s="1">
        <f>COUNTIFS(PLANNING!$I:$I,$B14,PLANNING!$P:$P,F$5)</f>
        <v>25</v>
      </c>
      <c r="G14" s="1">
        <f>COUNTIFS(PLANNING!$I:$I,$B14,PLANNING!$P:$P,G$5)</f>
        <v>0</v>
      </c>
      <c r="H14" s="1">
        <f>COUNTIFS(PLANNING!$I:$I,$B14,PLANNING!$P:$P,H$5)</f>
        <v>6</v>
      </c>
      <c r="I14" s="1">
        <f>COUNTIFS(PLANNING!$I:$I,$B14,PLANNING!$P:$P,I$5)</f>
        <v>0</v>
      </c>
      <c r="J14" s="1">
        <f>COUNTIFS(PLANNING!$I:$I,$B14,PLANNING!$P:$P,J$5)</f>
        <v>0</v>
      </c>
      <c r="K14" s="69"/>
      <c r="L14" s="4" t="s">
        <v>9</v>
      </c>
      <c r="M14" s="2" t="s">
        <v>5</v>
      </c>
      <c r="N14" s="1">
        <f>COUNTIFS(PLANNING!$I:$I,$B14,PLANNING!$Q:$Q,N$5)</f>
        <v>0</v>
      </c>
      <c r="O14" s="1">
        <f>COUNTIFS(PLANNING!$I:$I,$B14,PLANNING!$Q:$Q,O$5)</f>
        <v>0</v>
      </c>
      <c r="P14" s="1">
        <f>COUNTIFS(PLANNING!$I:$I,$B14,PLANNING!$Q:$Q,P$5)</f>
        <v>0</v>
      </c>
      <c r="Q14" s="1">
        <f>COUNTIFS(PLANNING!$I:$I,$B14,PLANNING!$Q:$Q,Q$5)</f>
        <v>0</v>
      </c>
      <c r="R14" s="1">
        <f>COUNTIFS(PLANNING!$I:$I,$B14,PLANNING!$Q:$Q,R$5)</f>
        <v>0</v>
      </c>
      <c r="S14" s="1">
        <f>COUNTIFS(PLANNING!$I:$I,$B14,PLANNING!$Q:$Q,S$5)</f>
        <v>5</v>
      </c>
      <c r="T14" s="1">
        <f>COUNTIFS(PLANNING!$I:$I,$B14,PLANNING!$Q:$Q,T$5)</f>
        <v>13</v>
      </c>
      <c r="U14" s="1">
        <f>COUNTIFS(PLANNING!$I:$I,$B14,PLANNING!$Q:$Q,U$5)</f>
        <v>20</v>
      </c>
      <c r="V14" s="1">
        <f>COUNTIFS(PLANNING!$I:$I,$B14,PLANNING!$Q:$Q,V$5)</f>
        <v>0</v>
      </c>
      <c r="W14" s="1">
        <f>COUNTIFS(PLANNING!$I:$I,$B14,PLANNING!$Q:$Q,W$5)</f>
        <v>6</v>
      </c>
    </row>
    <row r="15" spans="1:23" x14ac:dyDescent="0.3">
      <c r="A15" s="4" t="s">
        <v>9</v>
      </c>
      <c r="B15" s="2" t="s">
        <v>6</v>
      </c>
      <c r="C15" s="1">
        <f>COUNTIFS(PLANNING!$I:$I,$B15,PLANNING!$P:$P,C$5)</f>
        <v>0</v>
      </c>
      <c r="D15" s="1">
        <f>COUNTIFS(PLANNING!$I:$I,$B15,PLANNING!$P:$P,D$5)</f>
        <v>0</v>
      </c>
      <c r="E15" s="1">
        <f>COUNTIFS(PLANNING!$I:$I,$B15,PLANNING!$P:$P,E$5)</f>
        <v>18</v>
      </c>
      <c r="F15" s="1">
        <f>COUNTIFS(PLANNING!$I:$I,$B15,PLANNING!$P:$P,F$5)</f>
        <v>21</v>
      </c>
      <c r="G15" s="1">
        <f>COUNTIFS(PLANNING!$I:$I,$B15,PLANNING!$P:$P,G$5)</f>
        <v>0</v>
      </c>
      <c r="H15" s="1">
        <f>COUNTIFS(PLANNING!$I:$I,$B15,PLANNING!$P:$P,H$5)</f>
        <v>0</v>
      </c>
      <c r="I15" s="1">
        <f>COUNTIFS(PLANNING!$I:$I,$B15,PLANNING!$P:$P,I$5)</f>
        <v>0</v>
      </c>
      <c r="J15" s="1">
        <f>COUNTIFS(PLANNING!$I:$I,$B15,PLANNING!$P:$P,J$5)</f>
        <v>0</v>
      </c>
      <c r="K15" s="69"/>
      <c r="L15" s="4" t="s">
        <v>9</v>
      </c>
      <c r="M15" s="2" t="s">
        <v>6</v>
      </c>
      <c r="N15" s="1">
        <f>COUNTIFS(PLANNING!$I:$I,$B15,PLANNING!$Q:$Q,N$5)</f>
        <v>0</v>
      </c>
      <c r="O15" s="1">
        <f>COUNTIFS(PLANNING!$I:$I,$B15,PLANNING!$Q:$Q,O$5)</f>
        <v>0</v>
      </c>
      <c r="P15" s="1">
        <f>COUNTIFS(PLANNING!$I:$I,$B15,PLANNING!$Q:$Q,P$5)</f>
        <v>0</v>
      </c>
      <c r="Q15" s="1">
        <f>COUNTIFS(PLANNING!$I:$I,$B15,PLANNING!$Q:$Q,Q$5)</f>
        <v>0</v>
      </c>
      <c r="R15" s="1">
        <f>COUNTIFS(PLANNING!$I:$I,$B15,PLANNING!$Q:$Q,R$5)</f>
        <v>0</v>
      </c>
      <c r="S15" s="1">
        <f>COUNTIFS(PLANNING!$I:$I,$B15,PLANNING!$Q:$Q,S$5)</f>
        <v>4</v>
      </c>
      <c r="T15" s="1">
        <f>COUNTIFS(PLANNING!$I:$I,$B15,PLANNING!$Q:$Q,T$5)</f>
        <v>19</v>
      </c>
      <c r="U15" s="1">
        <f>COUNTIFS(PLANNING!$I:$I,$B15,PLANNING!$Q:$Q,U$5)</f>
        <v>16</v>
      </c>
      <c r="V15" s="1">
        <f>COUNTIFS(PLANNING!$I:$I,$B15,PLANNING!$Q:$Q,V$5)</f>
        <v>0</v>
      </c>
      <c r="W15" s="1">
        <f>COUNTIFS(PLANNING!$I:$I,$B15,PLANNING!$Q:$Q,W$5)</f>
        <v>0</v>
      </c>
    </row>
    <row r="16" spans="1:23" x14ac:dyDescent="0.3">
      <c r="A16" s="4" t="s">
        <v>9</v>
      </c>
      <c r="B16" s="2" t="s">
        <v>450</v>
      </c>
      <c r="C16" s="1">
        <f>COUNTIFS(PLANNING!$I:$I,LEFT($B$8,4),PLANNING!$P:$P,C$5)+COUNTIFS(PLANNING!$I:$I,RIGHT($B$8,14),PLANNING!$P:$P,C$5)</f>
        <v>0</v>
      </c>
      <c r="D16" s="1">
        <f>COUNTIFS(PLANNING!$I:$I,LEFT($B$8,4),PLANNING!$P:$P,D$5)+COUNTIFS(PLANNING!$I:$I,RIGHT($B$8,14),PLANNING!$P:$P,D$5)</f>
        <v>0</v>
      </c>
      <c r="E16" s="1">
        <f>COUNTIFS(PLANNING!$I:$I,LEFT($B$8,4),PLANNING!$P:$P,E$5)+COUNTIFS(PLANNING!$I:$I,RIGHT($B$8,14),PLANNING!$P:$P,E$5)</f>
        <v>30</v>
      </c>
      <c r="F16" s="1">
        <f>COUNTIFS(PLANNING!$I:$I,LEFT($B$8,4),PLANNING!$P:$P,F$5)+COUNTIFS(PLANNING!$I:$I,RIGHT($B$8,14),PLANNING!$P:$P,F$5)</f>
        <v>55</v>
      </c>
      <c r="G16" s="1">
        <f>COUNTIFS(PLANNING!$I:$I,LEFT($B$8,4),PLANNING!$P:$P,G$5)+COUNTIFS(PLANNING!$I:$I,RIGHT($B$8,14),PLANNING!$P:$P,G$5)</f>
        <v>24</v>
      </c>
      <c r="H16" s="1">
        <f>COUNTIFS(PLANNING!$I:$I,LEFT($B$8,4),PLANNING!$P:$P,H$5)+COUNTIFS(PLANNING!$I:$I,RIGHT($B$8,14),PLANNING!$P:$P,H$5)</f>
        <v>14</v>
      </c>
      <c r="I16" s="1">
        <f>COUNTIFS(PLANNING!$I:$I,LEFT($B$8,4),PLANNING!$P:$P,I$5)+COUNTIFS(PLANNING!$I:$I,RIGHT($B$8,14),PLANNING!$P:$P,I$5)</f>
        <v>0</v>
      </c>
      <c r="J16" s="1">
        <f>COUNTIFS(PLANNING!$I:$I,LEFT($B$8,4),PLANNING!$P:$P,J$5)+COUNTIFS(PLANNING!$I:$I,RIGHT($B$8,14),PLANNING!$P:$P,J$5)</f>
        <v>0</v>
      </c>
      <c r="K16" s="69"/>
      <c r="L16" s="4" t="s">
        <v>9</v>
      </c>
      <c r="M16" s="2" t="s">
        <v>450</v>
      </c>
      <c r="N16" s="1">
        <f>COUNTIFS(PLANNING!$I:$I,LEFT($B$8,4),PLANNING!$Q:$Q,N$5)+COUNTIFS(PLANNING!$I:$I,RIGHT($B$8,14),PLANNING!$Q:$Q,N$5)</f>
        <v>0</v>
      </c>
      <c r="O16" s="1">
        <f>COUNTIFS(PLANNING!$I:$I,LEFT($B$8,4),PLANNING!$Q:$Q,O$5)+COUNTIFS(PLANNING!$I:$I,RIGHT($B$8,14),PLANNING!$Q:$Q,O$5)</f>
        <v>0</v>
      </c>
      <c r="P16" s="1">
        <f>COUNTIFS(PLANNING!$I:$I,LEFT($B$8,4),PLANNING!$Q:$Q,P$5)+COUNTIFS(PLANNING!$I:$I,RIGHT($B$8,14),PLANNING!$Q:$Q,P$5)</f>
        <v>0</v>
      </c>
      <c r="Q16" s="1">
        <f>COUNTIFS(PLANNING!$I:$I,LEFT($B$8,4),PLANNING!$Q:$Q,Q$5)+COUNTIFS(PLANNING!$I:$I,RIGHT($B$8,14),PLANNING!$Q:$Q,Q$5)</f>
        <v>0</v>
      </c>
      <c r="R16" s="1">
        <f>COUNTIFS(PLANNING!$I:$I,LEFT($B$8,4),PLANNING!$Q:$Q,R$5)+COUNTIFS(PLANNING!$I:$I,RIGHT($B$8,14),PLANNING!$Q:$Q,R$5)</f>
        <v>0</v>
      </c>
      <c r="S16" s="1">
        <f>COUNTIFS(PLANNING!$I:$I,LEFT($B$8,4),PLANNING!$Q:$Q,S$5)+COUNTIFS(PLANNING!$I:$I,RIGHT($B$8,14),PLANNING!$Q:$Q,S$5)</f>
        <v>18</v>
      </c>
      <c r="T16" s="1">
        <f>COUNTIFS(PLANNING!$I:$I,LEFT($B$8,4),PLANNING!$Q:$Q,T$5)+COUNTIFS(PLANNING!$I:$I,RIGHT($B$8,14),PLANNING!$Q:$Q,T$5)</f>
        <v>15</v>
      </c>
      <c r="U16" s="1">
        <f>COUNTIFS(PLANNING!$I:$I,LEFT($B$8,4),PLANNING!$Q:$Q,U$5)+COUNTIFS(PLANNING!$I:$I,RIGHT($B$8,14),PLANNING!$Q:$Q,U$5)</f>
        <v>54</v>
      </c>
      <c r="V16" s="1">
        <f>COUNTIFS(PLANNING!$I:$I,LEFT($B$8,4),PLANNING!$Q:$Q,V$5)+COUNTIFS(PLANNING!$I:$I,RIGHT($B$8,14),PLANNING!$Q:$Q,V$5)</f>
        <v>22</v>
      </c>
      <c r="W16" s="1">
        <f>COUNTIFS(PLANNING!$I:$I,LEFT($B$8,4),PLANNING!$Q:$Q,W$5)+COUNTIFS(PLANNING!$I:$I,RIGHT($B$8,14),PLANNING!$Q:$Q,W$5)</f>
        <v>14</v>
      </c>
    </row>
    <row r="17" spans="1:23" x14ac:dyDescent="0.3">
      <c r="A17" s="4" t="s">
        <v>9</v>
      </c>
      <c r="B17" s="2" t="s">
        <v>7</v>
      </c>
      <c r="C17" s="1">
        <f>COUNTIFS(PLANNING!$I:$I,$B17,PLANNING!$P:$P,C$5)</f>
        <v>0</v>
      </c>
      <c r="D17" s="1">
        <f>COUNTIFS(PLANNING!$I:$I,$B17,PLANNING!$P:$P,D$5)</f>
        <v>0</v>
      </c>
      <c r="E17" s="1">
        <f>COUNTIFS(PLANNING!$I:$I,$B17,PLANNING!$P:$P,E$5)</f>
        <v>14</v>
      </c>
      <c r="F17" s="1">
        <f>COUNTIFS(PLANNING!$I:$I,$B17,PLANNING!$P:$P,F$5)</f>
        <v>20</v>
      </c>
      <c r="G17" s="1">
        <f>COUNTIFS(PLANNING!$I:$I,$B17,PLANNING!$P:$P,G$5)</f>
        <v>0</v>
      </c>
      <c r="H17" s="1">
        <f>COUNTIFS(PLANNING!$I:$I,$B17,PLANNING!$P:$P,H$5)</f>
        <v>0</v>
      </c>
      <c r="I17" s="1">
        <f>COUNTIFS(PLANNING!$I:$I,$B17,PLANNING!$P:$P,I$5)</f>
        <v>0</v>
      </c>
      <c r="J17" s="1">
        <f>COUNTIFS(PLANNING!$I:$I,$B17,PLANNING!$P:$P,J$5)</f>
        <v>0</v>
      </c>
      <c r="K17" s="69"/>
      <c r="L17" s="4" t="s">
        <v>9</v>
      </c>
      <c r="M17" s="2" t="s">
        <v>7</v>
      </c>
      <c r="N17" s="1">
        <f>COUNTIFS(PLANNING!$I:$I,$B17,PLANNING!$Q:$Q,N$5)</f>
        <v>0</v>
      </c>
      <c r="O17" s="1">
        <f>COUNTIFS(PLANNING!$I:$I,$B17,PLANNING!$Q:$Q,O$5)</f>
        <v>0</v>
      </c>
      <c r="P17" s="1">
        <f>COUNTIFS(PLANNING!$I:$I,$B17,PLANNING!$Q:$Q,P$5)</f>
        <v>0</v>
      </c>
      <c r="Q17" s="1">
        <f>COUNTIFS(PLANNING!$I:$I,$B17,PLANNING!$Q:$Q,Q$5)</f>
        <v>0</v>
      </c>
      <c r="R17" s="1">
        <f>COUNTIFS(PLANNING!$I:$I,$B17,PLANNING!$Q:$Q,R$5)</f>
        <v>0</v>
      </c>
      <c r="S17" s="1">
        <f>COUNTIFS(PLANNING!$I:$I,$B17,PLANNING!$Q:$Q,S$5)</f>
        <v>6</v>
      </c>
      <c r="T17" s="1">
        <f>COUNTIFS(PLANNING!$I:$I,$B17,PLANNING!$Q:$Q,T$5)</f>
        <v>11</v>
      </c>
      <c r="U17" s="1">
        <f>COUNTIFS(PLANNING!$I:$I,$B17,PLANNING!$Q:$Q,U$5)</f>
        <v>17</v>
      </c>
      <c r="V17" s="1">
        <f>COUNTIFS(PLANNING!$I:$I,$B17,PLANNING!$Q:$Q,V$5)</f>
        <v>0</v>
      </c>
      <c r="W17" s="1">
        <f>COUNTIFS(PLANNING!$I:$I,$B17,PLANNING!$Q:$Q,W$5)</f>
        <v>0</v>
      </c>
    </row>
    <row r="18" spans="1:23" x14ac:dyDescent="0.3">
      <c r="A18" s="4" t="s">
        <v>10</v>
      </c>
      <c r="B18" s="2" t="s">
        <v>5</v>
      </c>
      <c r="C18" s="1">
        <f>COUNTIFS(PLANNING!$I:$I,$B18,PLANNING!$R:$R,C$5)</f>
        <v>0</v>
      </c>
      <c r="D18" s="1">
        <f>COUNTIFS(PLANNING!$I:$I,$B18,PLANNING!$R:$R,D$5)</f>
        <v>0</v>
      </c>
      <c r="E18" s="1">
        <f>COUNTIFS(PLANNING!$I:$I,$B18,PLANNING!$R:$R,E$5)</f>
        <v>16</v>
      </c>
      <c r="F18" s="1">
        <f>COUNTIFS(PLANNING!$I:$I,$B18,PLANNING!$R:$R,F$5)</f>
        <v>27</v>
      </c>
      <c r="G18" s="1">
        <f>COUNTIFS(PLANNING!$I:$I,$B18,PLANNING!$R:$R,G$5)</f>
        <v>0</v>
      </c>
      <c r="H18" s="1">
        <f>COUNTIFS(PLANNING!$I:$I,$B18,PLANNING!$R:$R,H$5)</f>
        <v>0</v>
      </c>
      <c r="I18" s="1">
        <f>COUNTIFS(PLANNING!$I:$I,$B18,PLANNING!$R:$R,I$5)</f>
        <v>0</v>
      </c>
      <c r="J18" s="1">
        <f>COUNTIFS(PLANNING!$I:$I,$B18,PLANNING!$R:$R,J$5)</f>
        <v>0</v>
      </c>
      <c r="K18" s="69"/>
      <c r="L18" s="4" t="s">
        <v>10</v>
      </c>
      <c r="M18" s="2" t="s">
        <v>5</v>
      </c>
      <c r="N18" s="1">
        <f>COUNTIFS(PLANNING!$I:$I,$B18,PLANNING!$S:$S,N$5)</f>
        <v>0</v>
      </c>
      <c r="O18" s="1">
        <f>COUNTIFS(PLANNING!$I:$I,$B18,PLANNING!$S:$S,O$5)</f>
        <v>0</v>
      </c>
      <c r="P18" s="1">
        <f>COUNTIFS(PLANNING!$I:$I,$B18,PLANNING!$S:$S,P$5)</f>
        <v>0</v>
      </c>
      <c r="Q18" s="1">
        <f>COUNTIFS(PLANNING!$I:$I,$B18,PLANNING!$S:$S,Q$5)</f>
        <v>0</v>
      </c>
      <c r="R18" s="1">
        <f>COUNTIFS(PLANNING!$I:$I,$B18,PLANNING!$S:$S,R$5)</f>
        <v>0</v>
      </c>
      <c r="S18" s="1">
        <f>COUNTIFS(PLANNING!$I:$I,$B18,PLANNING!$S:$S,S$5)</f>
        <v>6</v>
      </c>
      <c r="T18" s="1">
        <f>COUNTIFS(PLANNING!$I:$I,$B18,PLANNING!$S:$S,T$5)</f>
        <v>15</v>
      </c>
      <c r="U18" s="1">
        <f>COUNTIFS(PLANNING!$I:$I,$B18,PLANNING!$S:$S,U$5)</f>
        <v>22</v>
      </c>
      <c r="V18" s="1">
        <f>COUNTIFS(PLANNING!$I:$I,$B18,PLANNING!$S:$S,V$5)</f>
        <v>0</v>
      </c>
      <c r="W18" s="1">
        <f>COUNTIFS(PLANNING!$I:$I,$B18,PLANNING!$S:$S,W$5)</f>
        <v>0</v>
      </c>
    </row>
    <row r="19" spans="1:23" x14ac:dyDescent="0.3">
      <c r="A19" s="4" t="s">
        <v>10</v>
      </c>
      <c r="B19" s="2" t="s">
        <v>6</v>
      </c>
      <c r="C19" s="1">
        <f>COUNTIFS(PLANNING!$I:$I,$B19,PLANNING!$R:$R,C$5)</f>
        <v>0</v>
      </c>
      <c r="D19" s="1">
        <f>COUNTIFS(PLANNING!$I:$I,$B19,PLANNING!$R:$R,D$5)</f>
        <v>0</v>
      </c>
      <c r="E19" s="1">
        <f>COUNTIFS(PLANNING!$I:$I,$B19,PLANNING!$R:$R,E$5)</f>
        <v>13</v>
      </c>
      <c r="F19" s="1">
        <f>COUNTIFS(PLANNING!$I:$I,$B19,PLANNING!$R:$R,F$5)</f>
        <v>20</v>
      </c>
      <c r="G19" s="1">
        <f>COUNTIFS(PLANNING!$I:$I,$B19,PLANNING!$R:$R,G$5)</f>
        <v>0</v>
      </c>
      <c r="H19" s="1">
        <f>COUNTIFS(PLANNING!$I:$I,$B19,PLANNING!$R:$R,H$5)</f>
        <v>0</v>
      </c>
      <c r="I19" s="1">
        <f>COUNTIFS(PLANNING!$I:$I,$B19,PLANNING!$R:$R,I$5)</f>
        <v>0</v>
      </c>
      <c r="J19" s="1">
        <f>COUNTIFS(PLANNING!$I:$I,$B19,PLANNING!$R:$R,J$5)</f>
        <v>0</v>
      </c>
      <c r="K19" s="69"/>
      <c r="L19" s="4" t="s">
        <v>10</v>
      </c>
      <c r="M19" s="2" t="s">
        <v>6</v>
      </c>
      <c r="N19" s="1">
        <f>COUNTIFS(PLANNING!$I:$I,$B19,PLANNING!$S:$S,N$5)</f>
        <v>0</v>
      </c>
      <c r="O19" s="1">
        <f>COUNTIFS(PLANNING!$I:$I,$B19,PLANNING!$S:$S,O$5)</f>
        <v>0</v>
      </c>
      <c r="P19" s="1">
        <f>COUNTIFS(PLANNING!$I:$I,$B19,PLANNING!$S:$S,P$5)</f>
        <v>0</v>
      </c>
      <c r="Q19" s="1">
        <f>COUNTIFS(PLANNING!$I:$I,$B19,PLANNING!$S:$S,Q$5)</f>
        <v>0</v>
      </c>
      <c r="R19" s="1">
        <f>COUNTIFS(PLANNING!$I:$I,$B19,PLANNING!$S:$S,R$5)</f>
        <v>0</v>
      </c>
      <c r="S19" s="1">
        <f>COUNTIFS(PLANNING!$I:$I,$B19,PLANNING!$S:$S,S$5)</f>
        <v>2</v>
      </c>
      <c r="T19" s="1">
        <f>COUNTIFS(PLANNING!$I:$I,$B19,PLANNING!$S:$S,T$5)</f>
        <v>16</v>
      </c>
      <c r="U19" s="1">
        <f>COUNTIFS(PLANNING!$I:$I,$B19,PLANNING!$S:$S,U$5)</f>
        <v>15</v>
      </c>
      <c r="V19" s="1">
        <f>COUNTIFS(PLANNING!$I:$I,$B19,PLANNING!$S:$S,V$5)</f>
        <v>0</v>
      </c>
      <c r="W19" s="1">
        <f>COUNTIFS(PLANNING!$I:$I,$B19,PLANNING!$S:$S,W$5)</f>
        <v>0</v>
      </c>
    </row>
    <row r="20" spans="1:23" x14ac:dyDescent="0.3">
      <c r="A20" s="4" t="s">
        <v>10</v>
      </c>
      <c r="B20" s="2" t="s">
        <v>450</v>
      </c>
      <c r="C20" s="1">
        <f>COUNTIFS(PLANNING!$I:$I,LEFT($B$8,4),PLANNING!$R:$R,C$5)+COUNTIFS(PLANNING!$I:$I,RIGHT($B$8,14),PLANNING!$R:$R,C$5)</f>
        <v>0</v>
      </c>
      <c r="D20" s="1">
        <f>COUNTIFS(PLANNING!$I:$I,LEFT($B$8,4),PLANNING!$R:$R,D$5)+COUNTIFS(PLANNING!$I:$I,RIGHT($B$8,14),PLANNING!$R:$R,D$5)</f>
        <v>0</v>
      </c>
      <c r="E20" s="1">
        <f>COUNTIFS(PLANNING!$I:$I,LEFT($B$8,4),PLANNING!$R:$R,E$5)+COUNTIFS(PLANNING!$I:$I,RIGHT($B$8,14),PLANNING!$R:$R,E$5)</f>
        <v>35</v>
      </c>
      <c r="F20" s="1">
        <f>COUNTIFS(PLANNING!$I:$I,LEFT($B$8,4),PLANNING!$R:$R,F$5)+COUNTIFS(PLANNING!$I:$I,RIGHT($B$8,14),PLANNING!$R:$R,F$5)</f>
        <v>49</v>
      </c>
      <c r="G20" s="1">
        <f>COUNTIFS(PLANNING!$I:$I,LEFT($B$8,4),PLANNING!$R:$R,G$5)+COUNTIFS(PLANNING!$I:$I,RIGHT($B$8,14),PLANNING!$R:$R,G$5)</f>
        <v>18</v>
      </c>
      <c r="H20" s="1">
        <f>COUNTIFS(PLANNING!$I:$I,LEFT($B$8,4),PLANNING!$R:$R,H$5)+COUNTIFS(PLANNING!$I:$I,RIGHT($B$8,14),PLANNING!$R:$R,H$5)</f>
        <v>15</v>
      </c>
      <c r="I20" s="1">
        <f>COUNTIFS(PLANNING!$I:$I,LEFT($B$8,4),PLANNING!$R:$R,I$5)+COUNTIFS(PLANNING!$I:$I,RIGHT($B$8,14),PLANNING!$R:$R,I$5)</f>
        <v>0</v>
      </c>
      <c r="J20" s="1">
        <f>COUNTIFS(PLANNING!$I:$I,LEFT($B$8,4),PLANNING!$R:$R,J$5)+COUNTIFS(PLANNING!$I:$I,RIGHT($B$8,14),PLANNING!$R:$R,J$5)</f>
        <v>0</v>
      </c>
      <c r="K20" s="69"/>
      <c r="L20" s="4" t="s">
        <v>10</v>
      </c>
      <c r="M20" s="2" t="s">
        <v>450</v>
      </c>
      <c r="N20" s="1">
        <f>COUNTIFS(PLANNING!$I:$I,LEFT($B$8,4),PLANNING!$S:$S,N$5)+COUNTIFS(PLANNING!$I:$I,RIGHT($B$8,14),PLANNING!$S:$S,N$5)</f>
        <v>0</v>
      </c>
      <c r="O20" s="1">
        <f>COUNTIFS(PLANNING!$I:$I,LEFT($B$8,4),PLANNING!$S:$S,O$5)+COUNTIFS(PLANNING!$I:$I,RIGHT($B$8,14),PLANNING!$S:$S,O$5)</f>
        <v>0</v>
      </c>
      <c r="P20" s="1">
        <f>COUNTIFS(PLANNING!$I:$I,LEFT($B$8,4),PLANNING!$S:$S,P$5)+COUNTIFS(PLANNING!$I:$I,RIGHT($B$8,14),PLANNING!$S:$S,P$5)</f>
        <v>0</v>
      </c>
      <c r="Q20" s="1">
        <f>COUNTIFS(PLANNING!$I:$I,LEFT($B$8,4),PLANNING!$S:$S,Q$5)+COUNTIFS(PLANNING!$I:$I,RIGHT($B$8,14),PLANNING!$S:$S,Q$5)</f>
        <v>0</v>
      </c>
      <c r="R20" s="1">
        <f>COUNTIFS(PLANNING!$I:$I,LEFT($B$8,4),PLANNING!$S:$S,R$5)+COUNTIFS(PLANNING!$I:$I,RIGHT($B$8,14),PLANNING!$S:$S,R$5)</f>
        <v>0</v>
      </c>
      <c r="S20" s="1">
        <f>COUNTIFS(PLANNING!$I:$I,LEFT($B$8,4),PLANNING!$S:$S,S$5)+COUNTIFS(PLANNING!$I:$I,RIGHT($B$8,14),PLANNING!$S:$S,S$5)</f>
        <v>19</v>
      </c>
      <c r="T20" s="1">
        <f>COUNTIFS(PLANNING!$I:$I,LEFT($B$8,4),PLANNING!$S:$S,T$5)+COUNTIFS(PLANNING!$I:$I,RIGHT($B$8,14),PLANNING!$S:$S,T$5)</f>
        <v>20</v>
      </c>
      <c r="U20" s="1">
        <f>COUNTIFS(PLANNING!$I:$I,LEFT($B$8,4),PLANNING!$S:$S,U$5)+COUNTIFS(PLANNING!$I:$I,RIGHT($B$8,14),PLANNING!$S:$S,U$5)</f>
        <v>49</v>
      </c>
      <c r="V20" s="1">
        <f>COUNTIFS(PLANNING!$I:$I,LEFT($B$8,4),PLANNING!$S:$S,V$5)+COUNTIFS(PLANNING!$I:$I,RIGHT($B$8,14),PLANNING!$S:$S,V$5)</f>
        <v>14</v>
      </c>
      <c r="W20" s="1">
        <f>COUNTIFS(PLANNING!$I:$I,LEFT($B$8,4),PLANNING!$S:$S,W$5)+COUNTIFS(PLANNING!$I:$I,RIGHT($B$8,14),PLANNING!$S:$S,W$5)</f>
        <v>15</v>
      </c>
    </row>
    <row r="21" spans="1:23" x14ac:dyDescent="0.3">
      <c r="A21" s="4" t="s">
        <v>10</v>
      </c>
      <c r="B21" s="2" t="s">
        <v>7</v>
      </c>
      <c r="C21" s="1">
        <f>COUNTIFS(PLANNING!$I:$I,$B21,PLANNING!$R:$R,C$5)</f>
        <v>0</v>
      </c>
      <c r="D21" s="1">
        <f>COUNTIFS(PLANNING!$I:$I,$B21,PLANNING!$R:$R,D$5)</f>
        <v>0</v>
      </c>
      <c r="E21" s="1">
        <f>COUNTIFS(PLANNING!$I:$I,$B21,PLANNING!$R:$R,E$5)</f>
        <v>14</v>
      </c>
      <c r="F21" s="1">
        <f>COUNTIFS(PLANNING!$I:$I,$B21,PLANNING!$R:$R,F$5)</f>
        <v>22</v>
      </c>
      <c r="G21" s="1">
        <f>COUNTIFS(PLANNING!$I:$I,$B21,PLANNING!$R:$R,G$5)</f>
        <v>0</v>
      </c>
      <c r="H21" s="1">
        <f>COUNTIFS(PLANNING!$I:$I,$B21,PLANNING!$R:$R,H$5)</f>
        <v>0</v>
      </c>
      <c r="I21" s="1">
        <f>COUNTIFS(PLANNING!$I:$I,$B21,PLANNING!$R:$R,I$5)</f>
        <v>0</v>
      </c>
      <c r="J21" s="1">
        <f>COUNTIFS(PLANNING!$I:$I,$B21,PLANNING!$R:$R,J$5)</f>
        <v>0</v>
      </c>
      <c r="K21" s="69"/>
      <c r="L21" s="4" t="s">
        <v>10</v>
      </c>
      <c r="M21" s="2" t="s">
        <v>7</v>
      </c>
      <c r="N21" s="1">
        <f>COUNTIFS(PLANNING!$I:$I,$B21,PLANNING!$S:$S,N$5)</f>
        <v>0</v>
      </c>
      <c r="O21" s="1">
        <f>COUNTIFS(PLANNING!$I:$I,$B21,PLANNING!$S:$S,O$5)</f>
        <v>0</v>
      </c>
      <c r="P21" s="1">
        <f>COUNTIFS(PLANNING!$I:$I,$B21,PLANNING!$S:$S,P$5)</f>
        <v>0</v>
      </c>
      <c r="Q21" s="1">
        <f>COUNTIFS(PLANNING!$I:$I,$B21,PLANNING!$S:$S,Q$5)</f>
        <v>0</v>
      </c>
      <c r="R21" s="1">
        <f>COUNTIFS(PLANNING!$I:$I,$B21,PLANNING!$S:$S,R$5)</f>
        <v>0</v>
      </c>
      <c r="S21" s="1">
        <f>COUNTIFS(PLANNING!$I:$I,$B21,PLANNING!$S:$S,S$5)</f>
        <v>6</v>
      </c>
      <c r="T21" s="1">
        <f>COUNTIFS(PLANNING!$I:$I,$B21,PLANNING!$S:$S,T$5)</f>
        <v>11</v>
      </c>
      <c r="U21" s="1">
        <f>COUNTIFS(PLANNING!$I:$I,$B21,PLANNING!$S:$S,U$5)</f>
        <v>19</v>
      </c>
      <c r="V21" s="1">
        <f>COUNTIFS(PLANNING!$I:$I,$B21,PLANNING!$S:$S,V$5)</f>
        <v>0</v>
      </c>
      <c r="W21" s="1">
        <f>COUNTIFS(PLANNING!$I:$I,$B21,PLANNING!$S:$S,W$5)</f>
        <v>0</v>
      </c>
    </row>
    <row r="22" spans="1:23" x14ac:dyDescent="0.3">
      <c r="A22" s="4" t="s">
        <v>11</v>
      </c>
      <c r="B22" s="2" t="s">
        <v>5</v>
      </c>
      <c r="C22" s="1">
        <f>COUNTIFS(PLANNING!$I:$I,$B22,PLANNING!$T:$T,C$5)</f>
        <v>0</v>
      </c>
      <c r="D22" s="1">
        <f>COUNTIFS(PLANNING!$I:$I,$B22,PLANNING!$T:$T,D$5)</f>
        <v>0</v>
      </c>
      <c r="E22" s="1">
        <f>COUNTIFS(PLANNING!$I:$I,$B22,PLANNING!$T:$T,E$5)</f>
        <v>16</v>
      </c>
      <c r="F22" s="1">
        <f>COUNTIFS(PLANNING!$I:$I,$B22,PLANNING!$T:$T,F$5)</f>
        <v>19</v>
      </c>
      <c r="G22" s="1">
        <f>COUNTIFS(PLANNING!$I:$I,$B22,PLANNING!$T:$T,G$5)</f>
        <v>5</v>
      </c>
      <c r="H22" s="1">
        <f>COUNTIFS(PLANNING!$I:$I,$B22,PLANNING!$T:$T,H$5)</f>
        <v>5</v>
      </c>
      <c r="I22" s="1">
        <f>COUNTIFS(PLANNING!$I:$I,$B22,PLANNING!$T:$T,I$5)</f>
        <v>0</v>
      </c>
      <c r="J22" s="1">
        <f>COUNTIFS(PLANNING!$I:$I,$B22,PLANNING!$T:$T,J$5)</f>
        <v>0</v>
      </c>
      <c r="K22" s="69"/>
      <c r="L22" s="4" t="s">
        <v>11</v>
      </c>
      <c r="M22" s="2" t="s">
        <v>5</v>
      </c>
      <c r="N22" s="1">
        <f>COUNTIFS(PLANNING!$I:$I,$B22,PLANNING!$U:$U,N$5)</f>
        <v>0</v>
      </c>
      <c r="O22" s="1">
        <f>COUNTIFS(PLANNING!$I:$I,$B22,PLANNING!$U:$U,O$5)</f>
        <v>0</v>
      </c>
      <c r="P22" s="1">
        <f>COUNTIFS(PLANNING!$I:$I,$B22,PLANNING!$U:$U,P$5)</f>
        <v>0</v>
      </c>
      <c r="Q22" s="1">
        <f>COUNTIFS(PLANNING!$I:$I,$B22,PLANNING!$U:$U,Q$5)</f>
        <v>0</v>
      </c>
      <c r="R22" s="1">
        <f>COUNTIFS(PLANNING!$I:$I,$B22,PLANNING!$U:$U,R$5)</f>
        <v>0</v>
      </c>
      <c r="S22" s="1">
        <f>COUNTIFS(PLANNING!$I:$I,$B22,PLANNING!$U:$U,S$5)</f>
        <v>8</v>
      </c>
      <c r="T22" s="1">
        <f>COUNTIFS(PLANNING!$I:$I,$B22,PLANNING!$U:$U,T$5)</f>
        <v>21</v>
      </c>
      <c r="U22" s="1">
        <f>COUNTIFS(PLANNING!$I:$I,$B22,PLANNING!$U:$U,U$5)</f>
        <v>11</v>
      </c>
      <c r="V22" s="1">
        <f>COUNTIFS(PLANNING!$I:$I,$B22,PLANNING!$U:$U,V$5)</f>
        <v>0</v>
      </c>
      <c r="W22" s="1">
        <f>COUNTIFS(PLANNING!$I:$I,$B22,PLANNING!$U:$U,W$5)</f>
        <v>5</v>
      </c>
    </row>
    <row r="23" spans="1:23" x14ac:dyDescent="0.3">
      <c r="A23" s="4" t="s">
        <v>11</v>
      </c>
      <c r="B23" s="2" t="s">
        <v>6</v>
      </c>
      <c r="C23" s="1">
        <f>COUNTIFS(PLANNING!$I:$I,$B23,PLANNING!$T:$T,C$5)</f>
        <v>0</v>
      </c>
      <c r="D23" s="1">
        <f>COUNTIFS(PLANNING!$I:$I,$B23,PLANNING!$T:$T,D$5)</f>
        <v>0</v>
      </c>
      <c r="E23" s="1">
        <f>COUNTIFS(PLANNING!$I:$I,$B23,PLANNING!$T:$T,E$5)</f>
        <v>16</v>
      </c>
      <c r="F23" s="1">
        <f>COUNTIFS(PLANNING!$I:$I,$B23,PLANNING!$T:$T,F$5)</f>
        <v>20</v>
      </c>
      <c r="G23" s="1">
        <f>COUNTIFS(PLANNING!$I:$I,$B23,PLANNING!$T:$T,G$5)</f>
        <v>0</v>
      </c>
      <c r="H23" s="1">
        <f>COUNTIFS(PLANNING!$I:$I,$B23,PLANNING!$T:$T,H$5)</f>
        <v>0</v>
      </c>
      <c r="I23" s="1">
        <f>COUNTIFS(PLANNING!$I:$I,$B23,PLANNING!$T:$T,I$5)</f>
        <v>0</v>
      </c>
      <c r="J23" s="1">
        <f>COUNTIFS(PLANNING!$I:$I,$B23,PLANNING!$T:$T,J$5)</f>
        <v>0</v>
      </c>
      <c r="K23" s="69"/>
      <c r="L23" s="4" t="s">
        <v>11</v>
      </c>
      <c r="M23" s="2" t="s">
        <v>6</v>
      </c>
      <c r="N23" s="1">
        <f>COUNTIFS(PLANNING!$I:$I,$B23,PLANNING!$U:$U,N$5)</f>
        <v>0</v>
      </c>
      <c r="O23" s="1">
        <f>COUNTIFS(PLANNING!$I:$I,$B23,PLANNING!$V:$V,O$5)</f>
        <v>0</v>
      </c>
      <c r="P23" s="1">
        <f>COUNTIFS(PLANNING!$I:$I,$B23,PLANNING!$U:$U,P$5)</f>
        <v>0</v>
      </c>
      <c r="Q23" s="1">
        <f>COUNTIFS(PLANNING!$I:$I,$B23,PLANNING!$U:$U,Q$5)</f>
        <v>0</v>
      </c>
      <c r="R23" s="1">
        <f>COUNTIFS(PLANNING!$I:$I,$B23,PLANNING!$U:$U,R$5)</f>
        <v>0</v>
      </c>
      <c r="S23" s="1">
        <f>COUNTIFS(PLANNING!$I:$I,$B23,PLANNING!$U:$U,S$5)</f>
        <v>7</v>
      </c>
      <c r="T23" s="1">
        <f>COUNTIFS(PLANNING!$I:$I,$B23,PLANNING!$U:$U,T$5)</f>
        <v>22</v>
      </c>
      <c r="U23" s="1">
        <f>COUNTIFS(PLANNING!$I:$I,$B23,PLANNING!$U:$U,U$5)</f>
        <v>7</v>
      </c>
      <c r="V23" s="1">
        <f>COUNTIFS(PLANNING!$I:$I,$B23,PLANNING!$U:$U,V$5)</f>
        <v>0</v>
      </c>
      <c r="W23" s="1">
        <f>COUNTIFS(PLANNING!$I:$I,$B23,PLANNING!$U:$U,W$5)</f>
        <v>0</v>
      </c>
    </row>
    <row r="24" spans="1:23" x14ac:dyDescent="0.3">
      <c r="A24" s="4" t="s">
        <v>11</v>
      </c>
      <c r="B24" s="2" t="s">
        <v>450</v>
      </c>
      <c r="C24" s="1">
        <f>COUNTIFS(PLANNING!$I:$I,LEFT($B$8,4),PLANNING!$T:$T,C$5)+COUNTIFS(PLANNING!$I:$I,RIGHT($B$8,14),PLANNING!$T:$T,C$5)</f>
        <v>0</v>
      </c>
      <c r="D24" s="1">
        <f>COUNTIFS(PLANNING!$I:$I,LEFT($B$8,4),PLANNING!$T:$T,D$5)+COUNTIFS(PLANNING!$I:$I,RIGHT($B$8,14),PLANNING!$T:$T,D$5)</f>
        <v>0</v>
      </c>
      <c r="E24" s="1">
        <f>COUNTIFS(PLANNING!$I:$I,LEFT($B$8,4),PLANNING!$T:$T,E$5)+COUNTIFS(PLANNING!$I:$I,RIGHT($B$8,14),PLANNING!$T:$T,E$5)</f>
        <v>39</v>
      </c>
      <c r="F24" s="1">
        <f>COUNTIFS(PLANNING!$I:$I,LEFT($B$8,4),PLANNING!$T:$T,F$5)+COUNTIFS(PLANNING!$I:$I,RIGHT($B$8,14),PLANNING!$T:$T,F$5)</f>
        <v>48</v>
      </c>
      <c r="G24" s="1">
        <f>COUNTIFS(PLANNING!$I:$I,LEFT($B$8,4),PLANNING!$T:$T,G$5)+COUNTIFS(PLANNING!$I:$I,RIGHT($B$8,14),PLANNING!$T:$T,G$5)</f>
        <v>12</v>
      </c>
      <c r="H24" s="1">
        <f>COUNTIFS(PLANNING!$I:$I,LEFT($B$8,4),PLANNING!$T:$T,H$5)+COUNTIFS(PLANNING!$I:$I,RIGHT($B$8,14),PLANNING!$T:$T,H$5)</f>
        <v>14</v>
      </c>
      <c r="I24" s="1">
        <f>COUNTIFS(PLANNING!$I:$I,LEFT($B$8,4),PLANNING!$T:$T,I$5)+COUNTIFS(PLANNING!$I:$I,RIGHT($B$8,14),PLANNING!$T:$T,I$5)</f>
        <v>8</v>
      </c>
      <c r="J24" s="1">
        <f>COUNTIFS(PLANNING!$I:$I,LEFT($B$8,4),PLANNING!$T:$T,J$5)+COUNTIFS(PLANNING!$I:$I,RIGHT($B$8,14),PLANNING!$T:$T,J$5)</f>
        <v>0</v>
      </c>
      <c r="K24" s="69"/>
      <c r="L24" s="4" t="s">
        <v>11</v>
      </c>
      <c r="M24" s="2" t="s">
        <v>450</v>
      </c>
      <c r="N24" s="1">
        <f>COUNTIFS(PLANNING!$I:$I,LEFT($B$24,4),PLANNING!$U:$U,N$5)+COUNTIFS(PLANNING!$I:$I,RIGHT($B$8,14),PLANNING!$U:$U,N$5)</f>
        <v>0</v>
      </c>
      <c r="O24" s="1">
        <f>COUNTIFS(PLANNING!$I:$I,LEFT($B$8,4),PLANNING!$V:$V,O$5)+COUNTIFS(PLANNING!$I:$I,RIGHT($B$8,14),PLANNING!$V:$V,O$5)</f>
        <v>0</v>
      </c>
      <c r="P24" s="1">
        <f>COUNTIFS(PLANNING!$I:$I,LEFT($B$8,4),PLANNING!$U:$U,P$5)+COUNTIFS(PLANNING!$I:$I,RIGHT($B$8,14),PLANNING!$U:$U,P$5)</f>
        <v>0</v>
      </c>
      <c r="Q24" s="1">
        <f>COUNTIFS(PLANNING!$I:$I,LEFT($B$8,4),PLANNING!$U:$U,Q$5)+COUNTIFS(PLANNING!$I:$I,RIGHT($B$8,14),PLANNING!$U:$U,Q$5)</f>
        <v>0</v>
      </c>
      <c r="R24" s="1">
        <f>COUNTIFS(PLANNING!$I:$I,LEFT($B$8,4),PLANNING!$U:$U,R$5)+COUNTIFS(PLANNING!$I:$I,RIGHT($B$8,14),PLANNING!$U:$U,R$5)</f>
        <v>0</v>
      </c>
      <c r="S24" s="1">
        <f>COUNTIFS(PLANNING!$I:$I,LEFT($B$8,4),PLANNING!$U:$U,S$5)+COUNTIFS(PLANNING!$I:$I,RIGHT($B$8,14),PLANNING!$U:$U,S$5)</f>
        <v>24</v>
      </c>
      <c r="T24" s="1">
        <f>COUNTIFS(PLANNING!$I:$I,LEFT($B$8,4),PLANNING!$U:$U,T$5)+COUNTIFS(PLANNING!$I:$I,RIGHT($B$8,14),PLANNING!$U:$U,T$5)</f>
        <v>41</v>
      </c>
      <c r="U24" s="1">
        <f>COUNTIFS(PLANNING!$I:$I,LEFT($B$8,4),PLANNING!$U:$U,U$5)+COUNTIFS(PLANNING!$I:$I,RIGHT($B$8,14),PLANNING!$U:$U,U$5)</f>
        <v>29</v>
      </c>
      <c r="V24" s="1">
        <f>COUNTIFS(PLANNING!$I:$I,LEFT($B$8,4),PLANNING!$U:$U,V$5)+COUNTIFS(PLANNING!$I:$I,RIGHT($B$8,14),PLANNING!$U:$U,V$5)</f>
        <v>16</v>
      </c>
      <c r="W24" s="1">
        <f>COUNTIFS(PLANNING!$I:$I,LEFT($B$8,4),PLANNING!$U:$U,W$5)+COUNTIFS(PLANNING!$I:$I,RIGHT($B$8,14),PLANNING!$U:$U,W$5)</f>
        <v>11</v>
      </c>
    </row>
    <row r="25" spans="1:23" x14ac:dyDescent="0.3">
      <c r="A25" s="4" t="s">
        <v>11</v>
      </c>
      <c r="B25" s="2" t="s">
        <v>7</v>
      </c>
      <c r="C25" s="1">
        <f>COUNTIFS(PLANNING!$I:$I,$B25,PLANNING!$T:$T,C$5)</f>
        <v>0</v>
      </c>
      <c r="D25" s="1">
        <f>COUNTIFS(PLANNING!$I:$I,$B25,PLANNING!$T:$T,D$5)</f>
        <v>0</v>
      </c>
      <c r="E25" s="1">
        <f>COUNTIFS(PLANNING!$I:$I,$B25,PLANNING!$T:$T,E$5)</f>
        <v>11</v>
      </c>
      <c r="F25" s="1">
        <f>COUNTIFS(PLANNING!$I:$I,$B25,PLANNING!$T:$T,F$5)</f>
        <v>25</v>
      </c>
      <c r="G25" s="1">
        <f>COUNTIFS(PLANNING!$I:$I,$B25,PLANNING!$T:$T,G$5)</f>
        <v>0</v>
      </c>
      <c r="H25" s="1">
        <f>COUNTIFS(PLANNING!$I:$I,$B25,PLANNING!$T:$T,H$5)</f>
        <v>0</v>
      </c>
      <c r="I25" s="1">
        <f>COUNTIFS(PLANNING!$I:$I,$B25,PLANNING!$T:$T,I$5)</f>
        <v>0</v>
      </c>
      <c r="J25" s="1">
        <f>COUNTIFS(PLANNING!$I:$I,$B25,PLANNING!$T:$T,J$5)</f>
        <v>0</v>
      </c>
      <c r="K25" s="69"/>
      <c r="L25" s="4" t="s">
        <v>11</v>
      </c>
      <c r="M25" s="2" t="s">
        <v>7</v>
      </c>
      <c r="N25" s="1">
        <f>COUNTIFS(PLANNING!$I:$I,$B25,PLANNING!$U:$U,N$5)</f>
        <v>0</v>
      </c>
      <c r="O25" s="1">
        <f>COUNTIFS(PLANNING!$I:$I,$B25,PLANNING!$V:$V,O$5)</f>
        <v>0</v>
      </c>
      <c r="P25" s="1">
        <f>COUNTIFS(PLANNING!$I:$I,$B25,PLANNING!$U:$U,P$5)</f>
        <v>0</v>
      </c>
      <c r="Q25" s="1">
        <f>COUNTIFS(PLANNING!$I:$I,$B25,PLANNING!$U:$U,Q$5)</f>
        <v>0</v>
      </c>
      <c r="R25" s="1">
        <f>COUNTIFS(PLANNING!$I:$I,$B25,PLANNING!$U:$U,R$5)</f>
        <v>0</v>
      </c>
      <c r="S25" s="1">
        <f>COUNTIFS(PLANNING!$I:$I,$B25,PLANNING!$U:$U,S$5)</f>
        <v>6</v>
      </c>
      <c r="T25" s="1">
        <f>COUNTIFS(PLANNING!$I:$I,$B25,PLANNING!$U:$U,T$5)</f>
        <v>18</v>
      </c>
      <c r="U25" s="1">
        <f>COUNTIFS(PLANNING!$I:$I,$B25,PLANNING!$U:$U,U$5)</f>
        <v>12</v>
      </c>
      <c r="V25" s="1">
        <f>COUNTIFS(PLANNING!$I:$I,$B25,PLANNING!$U:$U,V$5)</f>
        <v>0</v>
      </c>
      <c r="W25" s="1">
        <f>COUNTIFS(PLANNING!$I:$I,$B25,PLANNING!$U:$U,W$5)</f>
        <v>0</v>
      </c>
    </row>
    <row r="26" spans="1:23" x14ac:dyDescent="0.3">
      <c r="A26" s="4" t="s">
        <v>12</v>
      </c>
      <c r="B26" s="2" t="s">
        <v>5</v>
      </c>
      <c r="C26" s="1">
        <f>COUNTIFS(PLANNING!$I:$I,$B26,PLANNING!$V:$V,C$5)</f>
        <v>0</v>
      </c>
      <c r="D26" s="1">
        <f>COUNTIFS(PLANNING!$I:$I,$B26,PLANNING!$V:$V,D$5)</f>
        <v>0</v>
      </c>
      <c r="E26" s="1">
        <f>COUNTIFS(PLANNING!$I:$I,$B26,PLANNING!$V:$V,E$5)</f>
        <v>20</v>
      </c>
      <c r="F26" s="1">
        <f>COUNTIFS(PLANNING!$I:$I,$B26,PLANNING!$V:$V,F$5)</f>
        <v>0</v>
      </c>
      <c r="G26" s="1">
        <f>COUNTIFS(PLANNING!$I:$I,$B26,PLANNING!$V:$V,G$5)</f>
        <v>0</v>
      </c>
      <c r="H26" s="1">
        <f>COUNTIFS(PLANNING!$I:$I,$B26,PLANNING!$V:$V,H$5)</f>
        <v>5</v>
      </c>
      <c r="I26" s="1">
        <f>COUNTIFS(PLANNING!$I:$I,$B26,PLANNING!$V:$V,I$5)</f>
        <v>0</v>
      </c>
      <c r="J26" s="1">
        <f>COUNTIFS(PLANNING!$I:$I,$B26,PLANNING!$V:$V,J$5)</f>
        <v>0</v>
      </c>
      <c r="K26" s="69"/>
      <c r="L26" s="4" t="s">
        <v>12</v>
      </c>
      <c r="M26" s="2" t="s">
        <v>5</v>
      </c>
      <c r="N26" s="1">
        <f>COUNTIFS(PLANNING!$I:$I,$B26,PLANNING!$W:$W,N$5)</f>
        <v>4</v>
      </c>
      <c r="O26" s="1">
        <f>COUNTIFS(PLANNING!$I:$I,$B26,PLANNING!$W:$W,O$5)</f>
        <v>0</v>
      </c>
      <c r="P26" s="1">
        <f>COUNTIFS(PLANNING!$I:$I,$B26,PLANNING!$W:$W,P$5)</f>
        <v>5</v>
      </c>
      <c r="Q26" s="1">
        <f>COUNTIFS(PLANNING!$I:$I,$B26,PLANNING!$W:$W,Q$5)</f>
        <v>0</v>
      </c>
      <c r="R26" s="1">
        <f>COUNTIFS(PLANNING!$I:$I,$B26,PLANNING!$W:$W,R$5)</f>
        <v>0</v>
      </c>
      <c r="S26" s="1">
        <f>COUNTIFS(PLANNING!$I:$I,$B26,PLANNING!$W:$W,S$5)</f>
        <v>11</v>
      </c>
      <c r="T26" s="1">
        <f>COUNTIFS(PLANNING!$I:$I,$B26,PLANNING!$W:$W,T$5)</f>
        <v>0</v>
      </c>
      <c r="U26" s="1">
        <f>COUNTIFS(PLANNING!$I:$I,$B26,PLANNING!$W:$W,U$5)</f>
        <v>0</v>
      </c>
      <c r="V26" s="1">
        <f>COUNTIFS(PLANNING!$I:$I,$B26,PLANNING!$W:$W,V$5)</f>
        <v>0</v>
      </c>
      <c r="W26" s="1">
        <f>COUNTIFS(PLANNING!$I:$I,$B26,PLANNING!$W:$W,W$5)</f>
        <v>5</v>
      </c>
    </row>
    <row r="27" spans="1:23" x14ac:dyDescent="0.3">
      <c r="A27" s="4" t="s">
        <v>12</v>
      </c>
      <c r="B27" s="2" t="s">
        <v>6</v>
      </c>
      <c r="C27" s="1">
        <f>COUNTIFS(PLANNING!$I:$I,$B27,PLANNING!$V:$V,C$5)</f>
        <v>0</v>
      </c>
      <c r="D27" s="1">
        <f>COUNTIFS(PLANNING!$I:$I,$B27,PLANNING!$V:$V,D$5)</f>
        <v>0</v>
      </c>
      <c r="E27" s="1">
        <f>COUNTIFS(PLANNING!$I:$I,$B27,PLANNING!$V:$V,E$5)</f>
        <v>15</v>
      </c>
      <c r="F27" s="1">
        <f>COUNTIFS(PLANNING!$I:$I,$B27,PLANNING!$V:$V,F$5)</f>
        <v>0</v>
      </c>
      <c r="G27" s="1">
        <f>COUNTIFS(PLANNING!$I:$I,$B27,PLANNING!$V:$V,G$5)</f>
        <v>0</v>
      </c>
      <c r="H27" s="1">
        <f>COUNTIFS(PLANNING!$I:$I,$B27,PLANNING!$V:$V,H$5)</f>
        <v>0</v>
      </c>
      <c r="I27" s="1">
        <f>COUNTIFS(PLANNING!$I:$I,$B27,PLANNING!$V:$V,I$5)</f>
        <v>0</v>
      </c>
      <c r="J27" s="1">
        <f>COUNTIFS(PLANNING!$I:$I,$B27,PLANNING!$V:$V,J$5)</f>
        <v>0</v>
      </c>
      <c r="K27" s="69"/>
      <c r="L27" s="4" t="s">
        <v>12</v>
      </c>
      <c r="M27" s="2" t="s">
        <v>6</v>
      </c>
      <c r="N27" s="1">
        <f>COUNTIFS(PLANNING!$I:$I,$B27,PLANNING!$W:$W,N$5)</f>
        <v>2</v>
      </c>
      <c r="O27" s="1">
        <f>COUNTIFS(PLANNING!$I:$I,$B27,PLANNING!$W:$W,O$5)</f>
        <v>0</v>
      </c>
      <c r="P27" s="1">
        <f>COUNTIFS(PLANNING!$I:$I,$B27,PLANNING!$W:$W,P$5)</f>
        <v>6</v>
      </c>
      <c r="Q27" s="1">
        <f>COUNTIFS(PLANNING!$I:$I,$B27,PLANNING!$W:$W,Q$5)</f>
        <v>0</v>
      </c>
      <c r="R27" s="1">
        <f>COUNTIFS(PLANNING!$I:$I,$B27,PLANNING!$W:$W,R$5)</f>
        <v>0</v>
      </c>
      <c r="S27" s="1">
        <f>COUNTIFS(PLANNING!$I:$I,$B27,PLANNING!$W:$W,S$5)</f>
        <v>7</v>
      </c>
      <c r="T27" s="1">
        <f>COUNTIFS(PLANNING!$I:$I,$B27,PLANNING!$W:$W,T$5)</f>
        <v>0</v>
      </c>
      <c r="U27" s="1">
        <f>COUNTIFS(PLANNING!$I:$I,$B27,PLANNING!$W:$W,U$5)</f>
        <v>0</v>
      </c>
      <c r="V27" s="1">
        <f>COUNTIFS(PLANNING!$I:$I,$B27,PLANNING!$W:$W,V$5)</f>
        <v>0</v>
      </c>
      <c r="W27" s="1">
        <f>COUNTIFS(PLANNING!$I:$I,$B27,PLANNING!$W:$W,W$5)</f>
        <v>0</v>
      </c>
    </row>
    <row r="28" spans="1:23" x14ac:dyDescent="0.3">
      <c r="A28" s="4" t="s">
        <v>12</v>
      </c>
      <c r="B28" s="2" t="s">
        <v>450</v>
      </c>
      <c r="C28" s="1">
        <f>COUNTIFS(PLANNING!$I:$I,LEFT($B$8,4),PLANNING!$V:$V,C$5)+COUNTIFS(PLANNING!$I:$I,RIGHT($B$8,14),PLANNING!$V:$V,C$5)</f>
        <v>0</v>
      </c>
      <c r="D28" s="1">
        <f>COUNTIFS(PLANNING!$I:$I,LEFT($B$8,4),PLANNING!$V:$V,D$5)+COUNTIFS(PLANNING!$I:$I,RIGHT($B$8,14),PLANNING!$V:$V,D$5)</f>
        <v>0</v>
      </c>
      <c r="E28" s="1">
        <f>COUNTIFS(PLANNING!$I:$I,LEFT($B$8,4),PLANNING!$V:$V,E$5)+COUNTIFS(PLANNING!$I:$I,RIGHT($B$8,14),PLANNING!$V:$V,E$5)</f>
        <v>42</v>
      </c>
      <c r="F28" s="1">
        <f>COUNTIFS(PLANNING!$I:$I,LEFT($B$8,4),PLANNING!$V:$V,F$5)+COUNTIFS(PLANNING!$I:$I,RIGHT($B$8,14),PLANNING!$V:$V,F$5)</f>
        <v>17</v>
      </c>
      <c r="G28" s="1">
        <f>COUNTIFS(PLANNING!$I:$I,LEFT($B$8,4),PLANNING!$V:$V,G$5)+COUNTIFS(PLANNING!$I:$I,RIGHT($B$8,14),PLANNING!$V:$V,G$5)</f>
        <v>0</v>
      </c>
      <c r="H28" s="1">
        <f>COUNTIFS(PLANNING!$I:$I,LEFT($B$8,4),PLANNING!$V:$V,H$5)+COUNTIFS(PLANNING!$I:$I,RIGHT($B$8,14),PLANNING!$V:$V,H$5)</f>
        <v>5</v>
      </c>
      <c r="I28" s="1">
        <f>COUNTIFS(PLANNING!$I:$I,LEFT($B$8,4),PLANNING!$V:$V,I$5)+COUNTIFS(PLANNING!$I:$I,RIGHT($B$8,14),PLANNING!$V:$V,I$5)</f>
        <v>0</v>
      </c>
      <c r="J28" s="1">
        <f>COUNTIFS(PLANNING!$I:$I,LEFT($B$8,4),PLANNING!$V:$V,J$5)+COUNTIFS(PLANNING!$I:$I,RIGHT($B$8,14),PLANNING!$V:$V,J$5)</f>
        <v>0</v>
      </c>
      <c r="K28" s="69"/>
      <c r="L28" s="4" t="s">
        <v>12</v>
      </c>
      <c r="M28" s="2" t="s">
        <v>450</v>
      </c>
      <c r="N28" s="1">
        <f>COUNTIFS(PLANNING!$I:$I,LEFT($B$8,4),PLANNING!$W:$W,N$5)+COUNTIFS(PLANNING!$I:$I,RIGHT($B$8,14),PLANNING!$W:$W,N$5)</f>
        <v>15</v>
      </c>
      <c r="O28" s="1">
        <f>COUNTIFS(PLANNING!$I:$I,LEFT($B$8,4),PLANNING!$W:$W,O$5)+COUNTIFS(PLANNING!$I:$I,RIGHT($B$8,14),PLANNING!$W:$W,O$5)</f>
        <v>0</v>
      </c>
      <c r="P28" s="1">
        <f>COUNTIFS(PLANNING!$I:$I,LEFT($B$8,4),PLANNING!$W:$W,P$5)+COUNTIFS(PLANNING!$I:$I,RIGHT($B$8,14),PLANNING!$W:$W,P$5)</f>
        <v>16</v>
      </c>
      <c r="Q28" s="1">
        <f>COUNTIFS(PLANNING!$I:$I,LEFT($B$8,4),PLANNING!$W:$W,Q$5)+COUNTIFS(PLANNING!$I:$I,RIGHT($B$8,14),PLANNING!$W:$W,Q$5)</f>
        <v>0</v>
      </c>
      <c r="R28" s="1">
        <f>COUNTIFS(PLANNING!$I:$I,LEFT($B$8,4),PLANNING!$W:$W,R$5)+COUNTIFS(PLANNING!$I:$I,RIGHT($B$8,14),PLANNING!$W:$W,R$5)</f>
        <v>0</v>
      </c>
      <c r="S28" s="1">
        <f>COUNTIFS(PLANNING!$I:$I,LEFT($B$8,4),PLANNING!$W:$W,S$5)+COUNTIFS(PLANNING!$I:$I,RIGHT($B$8,14),PLANNING!$W:$W,S$5)</f>
        <v>10</v>
      </c>
      <c r="T28" s="1">
        <f>COUNTIFS(PLANNING!$I:$I,LEFT($B$8,4),PLANNING!$W:$W,T$5)+COUNTIFS(PLANNING!$I:$I,RIGHT($B$8,14),PLANNING!$W:$W,T$5)</f>
        <v>10</v>
      </c>
      <c r="U28" s="1">
        <f>COUNTIFS(PLANNING!$I:$I,LEFT($B$8,4),PLANNING!$W:$W,U$5)+COUNTIFS(PLANNING!$I:$I,RIGHT($B$8,14),PLANNING!$W:$W,U$5)</f>
        <v>8</v>
      </c>
      <c r="V28" s="1">
        <f>COUNTIFS(PLANNING!$I:$I,LEFT($B$8,4),PLANNING!$W:$W,V$5)+COUNTIFS(PLANNING!$I:$I,RIGHT($B$8,14),PLANNING!$W:$W,V$5)</f>
        <v>0</v>
      </c>
      <c r="W28" s="1">
        <f>COUNTIFS(PLANNING!$I:$I,LEFT($B$8,4),PLANNING!$W:$W,W$5)+COUNTIFS(PLANNING!$I:$I,RIGHT($B$8,14),PLANNING!$W:$W,W$5)</f>
        <v>5</v>
      </c>
    </row>
    <row r="29" spans="1:23" x14ac:dyDescent="0.3">
      <c r="A29" s="4" t="s">
        <v>12</v>
      </c>
      <c r="B29" s="2" t="s">
        <v>7</v>
      </c>
      <c r="C29" s="1">
        <f>COUNTIFS(PLANNING!$I:$I,$B29,PLANNING!$V:$V,C$5)</f>
        <v>0</v>
      </c>
      <c r="D29" s="1">
        <f>COUNTIFS(PLANNING!$I:$I,$B29,PLANNING!$V:$V,D$5)</f>
        <v>0</v>
      </c>
      <c r="E29" s="1">
        <f>COUNTIFS(PLANNING!$I:$I,$B29,PLANNING!$V:$V,E$5)</f>
        <v>19</v>
      </c>
      <c r="F29" s="1">
        <f>COUNTIFS(PLANNING!$I:$I,$B29,PLANNING!$V:$V,F$5)</f>
        <v>5</v>
      </c>
      <c r="G29" s="1">
        <f>COUNTIFS(PLANNING!$I:$I,$B29,PLANNING!$V:$V,G$5)</f>
        <v>0</v>
      </c>
      <c r="H29" s="1">
        <f>COUNTIFS(PLANNING!$I:$I,$B29,PLANNING!$V:$V,H$5)</f>
        <v>0</v>
      </c>
      <c r="I29" s="1">
        <f>COUNTIFS(PLANNING!$I:$I,$B29,PLANNING!$V:$V,I$5)</f>
        <v>0</v>
      </c>
      <c r="J29" s="1">
        <f>COUNTIFS(PLANNING!$I:$I,$B29,PLANNING!$V:$V,J$5)</f>
        <v>0</v>
      </c>
      <c r="K29" s="69"/>
      <c r="L29" s="4" t="s">
        <v>12</v>
      </c>
      <c r="M29" s="2" t="s">
        <v>7</v>
      </c>
      <c r="N29" s="1">
        <f>COUNTIFS(PLANNING!$I:$I,$B29,PLANNING!$W:$W,N$5)</f>
        <v>5</v>
      </c>
      <c r="O29" s="1">
        <f>COUNTIFS(PLANNING!$I:$I,$B29,PLANNING!$W:$W,O$5)</f>
        <v>0</v>
      </c>
      <c r="P29" s="1">
        <f>COUNTIFS(PLANNING!$I:$I,$B29,PLANNING!$W:$W,P$5)</f>
        <v>14</v>
      </c>
      <c r="Q29" s="1">
        <f>COUNTIFS(PLANNING!$I:$I,$B29,PLANNING!$W:$W,Q$5)</f>
        <v>0</v>
      </c>
      <c r="R29" s="1">
        <f>COUNTIFS(PLANNING!$I:$I,$B29,PLANNING!$W:$W,R$5)</f>
        <v>0</v>
      </c>
      <c r="S29" s="1">
        <f>COUNTIFS(PLANNING!$I:$I,$B29,PLANNING!$W:$W,S$5)</f>
        <v>0</v>
      </c>
      <c r="T29" s="1">
        <f>COUNTIFS(PLANNING!$I:$I,$B29,PLANNING!$W:$W,T$5)</f>
        <v>5</v>
      </c>
      <c r="U29" s="1">
        <f>COUNTIFS(PLANNING!$I:$I,$B29,PLANNING!$W:$W,U$5)</f>
        <v>0</v>
      </c>
      <c r="V29" s="1">
        <f>COUNTIFS(PLANNING!$I:$I,$B29,PLANNING!$W:$W,V$5)</f>
        <v>0</v>
      </c>
      <c r="W29" s="1">
        <f>COUNTIFS(PLANNING!$I:$I,$B29,PLANNING!$W:$W,W$5)</f>
        <v>0</v>
      </c>
    </row>
    <row r="30" spans="1:23" x14ac:dyDescent="0.3">
      <c r="A30" s="5" t="s">
        <v>150</v>
      </c>
      <c r="B30" s="2" t="s">
        <v>5</v>
      </c>
      <c r="C30" s="1">
        <f>COUNTIFS(PLANNING!$I:$I,$B30,PLANNING!$X:$X,C$5)</f>
        <v>0</v>
      </c>
      <c r="D30" s="1">
        <f>COUNTIFS(PLANNING!$I:$I,$B30,PLANNING!$X:$X,D$5)</f>
        <v>0</v>
      </c>
      <c r="E30" s="1">
        <f>COUNTIFS(PLANNING!$I:$I,$B30,PLANNING!$X:$X,E$5)</f>
        <v>0</v>
      </c>
      <c r="F30" s="1">
        <f>COUNTIFS(PLANNING!$I:$I,$B30,PLANNING!$X:$X,F$5)</f>
        <v>0</v>
      </c>
      <c r="G30" s="1">
        <f>COUNTIFS(PLANNING!$I:$I,$B30,PLANNING!$X:$X,G$5)</f>
        <v>0</v>
      </c>
      <c r="H30" s="1">
        <f>COUNTIFS(PLANNING!$I:$I,$B30,PLANNING!$X:$X,H$5)</f>
        <v>0</v>
      </c>
      <c r="I30" s="1">
        <f>COUNTIFS(PLANNING!$I:$I,$B30,PLANNING!$X:$X,I$5)</f>
        <v>0</v>
      </c>
      <c r="J30" s="1">
        <f>COUNTIFS(PLANNING!$I:$I,$B30,PLANNING!$X:$X,J$5)</f>
        <v>0</v>
      </c>
      <c r="K30" s="69"/>
      <c r="L30" s="5" t="s">
        <v>150</v>
      </c>
      <c r="M30" s="2" t="s">
        <v>5</v>
      </c>
      <c r="N30" s="1">
        <f>COUNTIFS(PLANNING!$I:$I,$B30,PLANNING!$Y:$Y,N$5)</f>
        <v>0</v>
      </c>
      <c r="O30" s="1">
        <f>COUNTIFS(PLANNING!$I:$I,$B30,PLANNING!$Y:$Y,O$5)</f>
        <v>0</v>
      </c>
      <c r="P30" s="1">
        <f>COUNTIFS(PLANNING!$I:$I,$B30,PLANNING!$Y:$Y,P$5)</f>
        <v>0</v>
      </c>
      <c r="Q30" s="1">
        <f>COUNTIFS(PLANNING!$I:$I,$B30,PLANNING!$Y:$Y,Q$5)</f>
        <v>0</v>
      </c>
      <c r="R30" s="1">
        <f>COUNTIFS(PLANNING!$I:$I,$B30,PLANNING!$Y:$Y,R$5)</f>
        <v>0</v>
      </c>
      <c r="S30" s="1">
        <f>COUNTIFS(PLANNING!$I:$I,$B30,PLANNING!$Y:$Y,S$5)</f>
        <v>0</v>
      </c>
      <c r="T30" s="1">
        <f>COUNTIFS(PLANNING!$I:$I,$B30,PLANNING!$Y:$Y,T$5)</f>
        <v>0</v>
      </c>
      <c r="U30" s="1">
        <f>COUNTIFS(PLANNING!$I:$I,$B30,PLANNING!$Y:$Y,U$5)</f>
        <v>0</v>
      </c>
      <c r="V30" s="1">
        <f>COUNTIFS(PLANNING!$I:$I,$B30,PLANNING!$Y:$Y,V$5)</f>
        <v>0</v>
      </c>
      <c r="W30" s="1">
        <f>COUNTIFS(PLANNING!$I:$I,$B30,PLANNING!$Y:$Y,W$5)</f>
        <v>0</v>
      </c>
    </row>
    <row r="31" spans="1:23" x14ac:dyDescent="0.3">
      <c r="A31" s="5" t="s">
        <v>150</v>
      </c>
      <c r="B31" s="2" t="s">
        <v>6</v>
      </c>
      <c r="C31" s="1">
        <f>COUNTIFS(PLANNING!$I:$I,$B31,PLANNING!$X:$X,C$5)</f>
        <v>0</v>
      </c>
      <c r="D31" s="1">
        <f>COUNTIFS(PLANNING!$I:$I,$B31,PLANNING!$X:$X,D$5)</f>
        <v>0</v>
      </c>
      <c r="E31" s="1">
        <f>COUNTIFS(PLANNING!$I:$I,$B31,PLANNING!$X:$X,E$5)</f>
        <v>0</v>
      </c>
      <c r="F31" s="1">
        <f>COUNTIFS(PLANNING!$I:$I,$B31,PLANNING!$X:$X,F$5)</f>
        <v>0</v>
      </c>
      <c r="G31" s="1">
        <f>COUNTIFS(PLANNING!$I:$I,$B31,PLANNING!$X:$X,G$5)</f>
        <v>0</v>
      </c>
      <c r="H31" s="1">
        <f>COUNTIFS(PLANNING!$I:$I,$B31,PLANNING!$X:$X,H$5)</f>
        <v>0</v>
      </c>
      <c r="I31" s="1">
        <f>COUNTIFS(PLANNING!$I:$I,$B31,PLANNING!$X:$X,I$5)</f>
        <v>0</v>
      </c>
      <c r="J31" s="1">
        <f>COUNTIFS(PLANNING!$I:$I,$B31,PLANNING!$X:$X,J$5)</f>
        <v>0</v>
      </c>
      <c r="K31" s="69"/>
      <c r="L31" s="5" t="s">
        <v>150</v>
      </c>
      <c r="M31" s="2" t="s">
        <v>6</v>
      </c>
      <c r="N31" s="1">
        <f>COUNTIFS(PLANNING!$I:$I,$B31,PLANNING!$Y:$Y,N$5)</f>
        <v>0</v>
      </c>
      <c r="O31" s="1">
        <f>COUNTIFS(PLANNING!$I:$I,$B31,PLANNING!$Y:$Y,O$5)</f>
        <v>0</v>
      </c>
      <c r="P31" s="1">
        <f>COUNTIFS(PLANNING!$I:$I,$B31,PLANNING!$Y:$Y,P$5)</f>
        <v>0</v>
      </c>
      <c r="Q31" s="1">
        <f>COUNTIFS(PLANNING!$I:$I,$B31,PLANNING!$Y:$Y,Q$5)</f>
        <v>0</v>
      </c>
      <c r="R31" s="1">
        <f>COUNTIFS(PLANNING!$I:$I,$B31,PLANNING!$Y:$Y,R$5)</f>
        <v>0</v>
      </c>
      <c r="S31" s="1">
        <f>COUNTIFS(PLANNING!$I:$I,$B31,PLANNING!$Y:$Y,S$5)</f>
        <v>0</v>
      </c>
      <c r="T31" s="1">
        <f>COUNTIFS(PLANNING!$I:$I,$B31,PLANNING!$Y:$Y,T$5)</f>
        <v>0</v>
      </c>
      <c r="U31" s="1">
        <f>COUNTIFS(PLANNING!$I:$I,$B31,PLANNING!$Y:$Y,U$5)</f>
        <v>0</v>
      </c>
      <c r="V31" s="1">
        <f>COUNTIFS(PLANNING!$I:$I,$B31,PLANNING!$Y:$Y,V$5)</f>
        <v>0</v>
      </c>
      <c r="W31" s="1">
        <f>COUNTIFS(PLANNING!$I:$I,$B31,PLANNING!$Y:$Y,W$5)</f>
        <v>0</v>
      </c>
    </row>
    <row r="32" spans="1:23" x14ac:dyDescent="0.3">
      <c r="A32" s="5" t="s">
        <v>150</v>
      </c>
      <c r="B32" s="2" t="s">
        <v>450</v>
      </c>
      <c r="C32" s="1">
        <f>COUNTIFS(PLANNING!$I:$I,LEFT($B$8,4),PLANNING!$X:$X,C$5)+COUNTIFS(PLANNING!$I:$I,RIGHT($B$8,14),PLANNING!$X:$X,C$5)</f>
        <v>0</v>
      </c>
      <c r="D32" s="1">
        <f>COUNTIFS(PLANNING!$I:$I,LEFT($B$8,4),PLANNING!$X:$X,D$5)+COUNTIFS(PLANNING!$I:$I,RIGHT($B$8,14),PLANNING!$X:$X,D$5)</f>
        <v>0</v>
      </c>
      <c r="E32" s="1">
        <f>COUNTIFS(PLANNING!$I:$I,LEFT($B$8,4),PLANNING!$X:$X,E$5)+COUNTIFS(PLANNING!$I:$I,RIGHT($B$8,14),PLANNING!$X:$X,E$5)</f>
        <v>0</v>
      </c>
      <c r="F32" s="1">
        <f>COUNTIFS(PLANNING!$I:$I,LEFT($B$8,4),PLANNING!$X:$X,F$5)+COUNTIFS(PLANNING!$I:$I,RIGHT($B$8,14),PLANNING!$X:$X,F$5)</f>
        <v>0</v>
      </c>
      <c r="G32" s="1">
        <f>COUNTIFS(PLANNING!$I:$I,LEFT($B$8,4),PLANNING!$X:$X,G$5)+COUNTIFS(PLANNING!$I:$I,RIGHT($B$8,14),PLANNING!$X:$X,G$5)</f>
        <v>0</v>
      </c>
      <c r="H32" s="1">
        <f>COUNTIFS(PLANNING!$I:$I,LEFT($B$8,4),PLANNING!$X:$X,H$5)+COUNTIFS(PLANNING!$I:$I,RIGHT($B$8,14),PLANNING!$X:$X,H$5)</f>
        <v>0</v>
      </c>
      <c r="I32" s="1">
        <f>COUNTIFS(PLANNING!$I:$I,LEFT($B$8,4),PLANNING!$X:$X,I$5)+COUNTIFS(PLANNING!$I:$I,RIGHT($B$8,14),PLANNING!$X:$X,I$5)</f>
        <v>0</v>
      </c>
      <c r="J32" s="1">
        <f>COUNTIFS(PLANNING!$I:$I,LEFT($B$8,4),PLANNING!$X:$X,J$5)+COUNTIFS(PLANNING!$I:$I,RIGHT($B$8,14),PLANNING!$X:$X,J$5)</f>
        <v>0</v>
      </c>
      <c r="K32" s="69"/>
      <c r="L32" s="5" t="s">
        <v>150</v>
      </c>
      <c r="M32" s="2" t="s">
        <v>450</v>
      </c>
      <c r="N32" s="1">
        <f>COUNTIFS(PLANNING!$I:$I,LEFT($B$8,4),PLANNING!$Y:$Y,N$5)+COUNTIFS(PLANNING!$I:$I,RIGHT($B$8,14),PLANNING!$Y:$Y,N$5)</f>
        <v>0</v>
      </c>
      <c r="O32" s="1">
        <f>COUNTIFS(PLANNING!$I:$I,LEFT($B$8,4),PLANNING!$Y:$Y,O$5)+COUNTIFS(PLANNING!$I:$I,RIGHT($B$8,14),PLANNING!$Y:$Y,O$5)</f>
        <v>0</v>
      </c>
      <c r="P32" s="1">
        <f>COUNTIFS(PLANNING!$I:$I,LEFT($B$8,4),PLANNING!$Y:$Y,P$5)+COUNTIFS(PLANNING!$I:$I,RIGHT($B$8,14),PLANNING!$Y:$Y,P$5)</f>
        <v>0</v>
      </c>
      <c r="Q32" s="1">
        <f>COUNTIFS(PLANNING!$I:$I,LEFT($B$8,4),PLANNING!$Y:$Y,Q$5)+COUNTIFS(PLANNING!$I:$I,RIGHT($B$8,14),PLANNING!$Y:$Y,Q$5)</f>
        <v>0</v>
      </c>
      <c r="R32" s="1">
        <f>COUNTIFS(PLANNING!$I:$I,LEFT($B$8,4),PLANNING!$Y:$Y,R$5)+COUNTIFS(PLANNING!$I:$I,RIGHT($B$8,14),PLANNING!$Y:$Y,R$5)</f>
        <v>0</v>
      </c>
      <c r="S32" s="1">
        <f>COUNTIFS(PLANNING!$I:$I,LEFT($B$8,4),PLANNING!$Y:$Y,S$5)+COUNTIFS(PLANNING!$I:$I,RIGHT($B$8,14),PLANNING!$Y:$Y,S$5)</f>
        <v>0</v>
      </c>
      <c r="T32" s="1">
        <f>COUNTIFS(PLANNING!$I:$I,LEFT($B$8,4),PLANNING!$Y:$Y,T$5)+COUNTIFS(PLANNING!$I:$I,RIGHT($B$8,14),PLANNING!$Y:$Y,T$5)</f>
        <v>0</v>
      </c>
      <c r="U32" s="1">
        <f>COUNTIFS(PLANNING!$I:$I,LEFT($B$8,4),PLANNING!$Y:$Y,U$5)+COUNTIFS(PLANNING!$I:$I,RIGHT($B$8,14),PLANNING!$Y:$Y,U$5)</f>
        <v>0</v>
      </c>
      <c r="V32" s="1">
        <f>COUNTIFS(PLANNING!$I:$I,LEFT($B$8,4),PLANNING!$Y:$Y,V$5)+COUNTIFS(PLANNING!$I:$I,RIGHT($B$8,14),PLANNING!$Y:$Y,V$5)</f>
        <v>0</v>
      </c>
      <c r="W32" s="1">
        <f>COUNTIFS(PLANNING!$I:$I,LEFT($B$8,4),PLANNING!$Y:$Y,W$5)+COUNTIFS(PLANNING!$I:$I,RIGHT($B$8,14),PLANNING!$Y:$Y,W$5)</f>
        <v>0</v>
      </c>
    </row>
    <row r="33" spans="1:23" x14ac:dyDescent="0.3">
      <c r="A33" s="5" t="s">
        <v>150</v>
      </c>
      <c r="B33" s="2" t="s">
        <v>7</v>
      </c>
      <c r="C33" s="1">
        <f>COUNTIFS(PLANNING!$I:$I,$B33,PLANNING!$X:$X,C$5)</f>
        <v>0</v>
      </c>
      <c r="D33" s="1">
        <f>COUNTIFS(PLANNING!$I:$I,$B33,PLANNING!$X:$X,D$5)</f>
        <v>0</v>
      </c>
      <c r="E33" s="1">
        <f>COUNTIFS(PLANNING!$I:$I,$B33,PLANNING!$X:$X,E$5)</f>
        <v>0</v>
      </c>
      <c r="F33" s="1">
        <f>COUNTIFS(PLANNING!$I:$I,$B33,PLANNING!$X:$X,F$5)</f>
        <v>0</v>
      </c>
      <c r="G33" s="1">
        <f>COUNTIFS(PLANNING!$I:$I,$B33,PLANNING!$X:$X,G$5)</f>
        <v>0</v>
      </c>
      <c r="H33" s="1">
        <f>COUNTIFS(PLANNING!$I:$I,$B33,PLANNING!$X:$X,H$5)</f>
        <v>0</v>
      </c>
      <c r="I33" s="1">
        <f>COUNTIFS(PLANNING!$I:$I,$B33,PLANNING!$X:$X,I$5)</f>
        <v>0</v>
      </c>
      <c r="J33" s="1">
        <f>COUNTIFS(PLANNING!$I:$I,$B33,PLANNING!$X:$X,J$5)</f>
        <v>0</v>
      </c>
      <c r="K33" s="70"/>
      <c r="L33" s="5" t="s">
        <v>150</v>
      </c>
      <c r="M33" s="2" t="s">
        <v>7</v>
      </c>
      <c r="N33" s="1">
        <f>COUNTIFS(PLANNING!$I:$I,$B33,PLANNING!$Y:$Y,N$5)</f>
        <v>0</v>
      </c>
      <c r="O33" s="1">
        <f>COUNTIFS(PLANNING!$I:$I,$B33,PLANNING!$Y:$Y,O$5)</f>
        <v>0</v>
      </c>
      <c r="P33" s="1">
        <f>COUNTIFS(PLANNING!$I:$I,$B33,PLANNING!$Y:$Y,P$5)</f>
        <v>0</v>
      </c>
      <c r="Q33" s="1">
        <f>COUNTIFS(PLANNING!$I:$I,$B33,PLANNING!$Y:$Y,Q$5)</f>
        <v>0</v>
      </c>
      <c r="R33" s="1">
        <f>COUNTIFS(PLANNING!$I:$I,$B33,PLANNING!$Y:$Y,R$5)</f>
        <v>0</v>
      </c>
      <c r="S33" s="1">
        <f>COUNTIFS(PLANNING!$I:$I,$B33,PLANNING!$Y:$Y,S$5)</f>
        <v>0</v>
      </c>
      <c r="T33" s="1">
        <f>COUNTIFS(PLANNING!$I:$I,$B33,PLANNING!$Y:$Y,T$5)</f>
        <v>0</v>
      </c>
      <c r="U33" s="1">
        <f>COUNTIFS(PLANNING!$I:$I,$B33,PLANNING!$Y:$Y,U$5)</f>
        <v>0</v>
      </c>
      <c r="V33" s="1">
        <f>COUNTIFS(PLANNING!$I:$I,$B33,PLANNING!$Y:$Y,V$5)</f>
        <v>0</v>
      </c>
      <c r="W33" s="1">
        <f>COUNTIFS(PLANNING!$I:$I,$B33,PLANNING!$Y:$Y,W$5)</f>
        <v>0</v>
      </c>
    </row>
    <row r="34" spans="1:23" hidden="1" x14ac:dyDescent="0.3"/>
    <row r="38" spans="1:23" ht="18" x14ac:dyDescent="0.3">
      <c r="E38" s="6"/>
    </row>
  </sheetData>
  <autoFilter ref="A5:W33"/>
  <mergeCells count="3">
    <mergeCell ref="L4:W4"/>
    <mergeCell ref="A4:J4"/>
    <mergeCell ref="K4:K33"/>
  </mergeCells>
  <conditionalFormatting sqref="C6:J29">
    <cfRule type="cellIs" dxfId="4" priority="27" operator="between">
      <formula>1</formula>
      <formula>4</formula>
    </cfRule>
  </conditionalFormatting>
  <conditionalFormatting sqref="C31:J33">
    <cfRule type="cellIs" dxfId="3" priority="15" operator="between">
      <formula>1</formula>
      <formula>3</formula>
    </cfRule>
  </conditionalFormatting>
  <conditionalFormatting sqref="C30:J30">
    <cfRule type="cellIs" dxfId="2" priority="14" operator="between">
      <formula>1</formula>
      <formula>3</formula>
    </cfRule>
  </conditionalFormatting>
  <conditionalFormatting sqref="O6:W33">
    <cfRule type="cellIs" dxfId="1" priority="2" operator="between">
      <formula>1</formula>
      <formula>4</formula>
    </cfRule>
  </conditionalFormatting>
  <conditionalFormatting sqref="N6:N33">
    <cfRule type="cellIs" dxfId="0" priority="1" operator="between">
      <formula>1</formula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ETAT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JKAOUA Ikrame (PRESTA EXT)</dc:creator>
  <cp:lastModifiedBy>EL JAOUHARI Ussama [EIDS]</cp:lastModifiedBy>
  <cp:lastPrinted>2026-03-13T12:39:27Z</cp:lastPrinted>
  <dcterms:created xsi:type="dcterms:W3CDTF">2023-09-15T11:24:05Z</dcterms:created>
  <dcterms:modified xsi:type="dcterms:W3CDTF">2026-07-06T13:24:16Z</dcterms:modified>
</cp:coreProperties>
</file>